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Language Bank" sheetId="2" state="visible" r:id="rId2"/>
    <sheet name="Play-tests" sheetId="3" state="visible" r:id="rId3"/>
    <sheet name="Survey Raw" sheetId="4" state="visible" r:id="rId4"/>
    <sheet name="BestWorst" sheetId="5" state="visible" r:id="rId5"/>
    <sheet name="Paid Test" sheetId="6" state="visible" r:id="rId6"/>
    <sheet name="Gate Review" sheetId="7" state="visible" r:id="rId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F3A2E"/>
      <sz val="16"/>
    </font>
    <font>
      <name val="Calibri"/>
      <i val="1"/>
      <color rgb="006B7280"/>
      <sz val="9"/>
    </font>
    <font>
      <name val="Calibri"/>
      <b val="1"/>
      <color rgb="001F3A2E"/>
      <sz val="11"/>
    </font>
    <font>
      <name val="Calibri"/>
      <sz val="10"/>
    </font>
    <font>
      <name val="Calibri"/>
      <b val="1"/>
      <color rgb="00C8763C"/>
      <sz val="10"/>
    </font>
    <font>
      <name val="Calibri"/>
      <b val="1"/>
      <color rgb="00FFFFFF"/>
      <sz val="14"/>
    </font>
    <font>
      <name val="Calibri"/>
      <b val="1"/>
      <color rgb="00C8763C"/>
      <sz val="11"/>
    </font>
    <font>
      <name val="Calibri"/>
      <b val="1"/>
      <sz val="11"/>
    </font>
    <font>
      <name val="Calibri"/>
      <b val="1"/>
      <color rgb="00C8763C"/>
      <sz val="12"/>
    </font>
    <font>
      <name val="Calibri"/>
      <b val="1"/>
      <color rgb="00C8763C"/>
      <sz val="13"/>
    </font>
  </fonts>
  <fills count="5">
    <fill>
      <patternFill/>
    </fill>
    <fill>
      <patternFill patternType="gray125"/>
    </fill>
    <fill>
      <patternFill patternType="solid">
        <fgColor rgb="00F2EDE4"/>
      </patternFill>
    </fill>
    <fill>
      <patternFill patternType="solid">
        <fgColor rgb="001F3A2E"/>
      </patternFill>
    </fill>
    <fill>
      <patternFill patternType="solid">
        <fgColor rgb="00FFFDF5"/>
      </patternFill>
    </fill>
  </fills>
  <borders count="6">
    <border>
      <left/>
      <right/>
      <top/>
      <bottom/>
      <diagonal/>
    </border>
    <border>
      <left style="thin">
        <color rgb="00D4CFC4"/>
      </left>
      <right style="thin">
        <color rgb="00D4CFC4"/>
      </right>
      <top style="thin">
        <color rgb="00D4CFC4"/>
      </top>
      <bottom style="thin">
        <color rgb="00D4CFC4"/>
      </bottom>
    </border>
    <border>
      <left/>
      <right/>
      <top style="thin">
        <color rgb="00D4CFC4"/>
      </top>
      <bottom/>
      <diagonal/>
    </border>
    <border>
      <left/>
      <right style="thin">
        <color rgb="00D4CFC4"/>
      </right>
      <top style="thin">
        <color rgb="00D4CFC4"/>
      </top>
      <bottom/>
      <diagonal/>
    </border>
    <border>
      <left/>
      <right/>
      <top style="thin">
        <color rgb="00D4CFC4"/>
      </top>
      <bottom style="thin">
        <color rgb="00D4CFC4"/>
      </bottom>
      <diagonal/>
    </border>
    <border>
      <left/>
      <right style="thin">
        <color rgb="00D4CFC4"/>
      </right>
      <top style="thin">
        <color rgb="00D4CFC4"/>
      </top>
      <bottom style="thin">
        <color rgb="00D4CFC4"/>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4" fillId="0" borderId="0" applyAlignment="1" pivotButton="0" quotePrefix="0" xfId="0">
      <alignment vertical="top" wrapText="1"/>
    </xf>
    <xf numFmtId="0" fontId="3" fillId="0" borderId="0" pivotButton="0" quotePrefix="0" xfId="0"/>
    <xf numFmtId="0" fontId="5" fillId="0" borderId="0" applyAlignment="1" pivotButton="0" quotePrefix="0" xfId="0">
      <alignment vertical="top" wrapText="1"/>
    </xf>
    <xf numFmtId="0" fontId="6"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top" wrapText="1"/>
    </xf>
    <xf numFmtId="0" fontId="4" fillId="0" borderId="0" pivotButton="0" quotePrefix="0" xfId="0"/>
    <xf numFmtId="0" fontId="7"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0" borderId="1" pivotButton="0" quotePrefix="0" xfId="0"/>
    <xf numFmtId="0" fontId="3" fillId="2" borderId="1" applyAlignment="1" pivotButton="0" quotePrefix="0" xfId="0">
      <alignment horizontal="center" vertical="center" wrapText="1"/>
    </xf>
    <xf numFmtId="0" fontId="0" fillId="2" borderId="1" applyAlignment="1" pivotButton="0" quotePrefix="0" xfId="0">
      <alignment horizontal="center" vertical="center" wrapText="1"/>
    </xf>
    <xf numFmtId="0" fontId="4" fillId="2" borderId="1" pivotButton="0" quotePrefix="0" xfId="0"/>
    <xf numFmtId="0" fontId="0" fillId="2" borderId="1" pivotButton="0" quotePrefix="0" xfId="0"/>
    <xf numFmtId="0" fontId="0" fillId="0" borderId="1" applyAlignment="1" pivotButton="0" quotePrefix="0" xfId="0">
      <alignment horizontal="center" vertical="center" wrapText="1"/>
    </xf>
    <xf numFmtId="0" fontId="0" fillId="4" borderId="1" pivotButton="0" quotePrefix="0" xfId="0"/>
    <xf numFmtId="0" fontId="5" fillId="0" borderId="1" applyAlignment="1" pivotButton="0" quotePrefix="0" xfId="0">
      <alignment horizontal="center" vertical="center" wrapText="1"/>
    </xf>
    <xf numFmtId="0" fontId="8" fillId="4" borderId="1" applyAlignment="1" pivotButton="0" quotePrefix="0" xfId="0">
      <alignment horizontal="center" vertical="center" wrapText="1"/>
    </xf>
    <xf numFmtId="0" fontId="2" fillId="0" borderId="0" pivotButton="0" quotePrefix="0" xfId="0"/>
    <xf numFmtId="0" fontId="9" fillId="2" borderId="1" applyAlignment="1" pivotButton="0" quotePrefix="0" xfId="0">
      <alignment horizontal="center" vertical="center" wrapText="1"/>
    </xf>
    <xf numFmtId="0" fontId="4" fillId="0" borderId="1" applyAlignment="1" pivotButton="0" quotePrefix="0" xfId="0">
      <alignment vertical="top" wrapText="1"/>
    </xf>
    <xf numFmtId="0" fontId="4"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0" borderId="1" applyAlignment="1" pivotButton="0" quotePrefix="0" xfId="0">
      <alignment vertical="top" wrapText="1"/>
    </xf>
    <xf numFmtId="0" fontId="3" fillId="0" borderId="1" applyAlignment="1" pivotButton="0" quotePrefix="0" xfId="0">
      <alignment vertical="top" wrapText="1"/>
    </xf>
    <xf numFmtId="0" fontId="0" fillId="4" borderId="1" applyAlignment="1" pivotButton="0" quotePrefix="0" xfId="0">
      <alignment vertical="top" wrapText="1"/>
    </xf>
    <xf numFmtId="0" fontId="2" fillId="0" borderId="1" applyAlignment="1" pivotButton="0" quotePrefix="0" xfId="0">
      <alignment vertical="top" wrapText="1"/>
    </xf>
    <xf numFmtId="0" fontId="10"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 customWidth="1" min="1" max="1"/>
    <col width="22" customWidth="1" min="2" max="2"/>
    <col width="86" customWidth="1" min="3" max="3"/>
  </cols>
  <sheetData>
    <row r="1" ht="24" customHeight="1">
      <c r="A1" s="1" t="inlineStr">
        <is>
          <t>Validation sprint workbook</t>
        </is>
      </c>
    </row>
    <row r="2" ht="30" customHeight="1">
      <c r="A2" s="2" t="inlineStr">
        <is>
          <t>Sept 7-30, 2026. Fill the tabs in order. Yellow cells are for you; white cells calculate themselves. Nothing here is a forecast - every number is something you observed.</t>
        </is>
      </c>
    </row>
    <row r="4" ht="46" customHeight="1">
      <c r="B4" s="3" t="inlineStr">
        <is>
          <t>1. Language Bank</t>
        </is>
      </c>
      <c r="C4" s="4" t="inlineStr">
        <is>
          <t>One row per parent interview, filled within an hour of the session. The four counted outputs at the bottom are what the gate review argues about: unprompted screen mentions, correct unaided product identification, median unanchored price guess, and objections repeated 3+ times.</t>
        </is>
      </c>
    </row>
    <row r="5" ht="46" customHeight="1">
      <c r="B5" s="3" t="inlineStr">
        <is>
          <t>2. Play-tests</t>
        </is>
      </c>
      <c r="C5" s="4" t="inlineStr">
        <is>
          <t>One row per child session. Gate 2 calculates live at the bottom. Watch the bleed-through column - a single Yes means re-spec the paper before proofing.</t>
        </is>
      </c>
    </row>
    <row r="6" ht="46" customHeight="1">
      <c r="B6" s="3" t="inlineStr">
        <is>
          <t>3. Survey Raw</t>
        </is>
      </c>
      <c r="C6" s="4" t="inlineStr">
        <is>
          <t>Paste the survey export here, one respondent per row, keeping the column order from 04-survey-instrument.md. Do not clean it in place; keep the raw export intact.</t>
        </is>
      </c>
    </row>
    <row r="7" ht="46" customHeight="1">
      <c r="B7" s="3" t="inlineStr">
        <is>
          <t>4. BestWorst</t>
        </is>
      </c>
      <c r="C7" s="4" t="inlineStr">
        <is>
          <t>Enter the most/least counts per attribute from Section B. Scores compute automatically on a -1 to +1 scale. Check the ranking against the constant-sum result before trusting it.</t>
        </is>
      </c>
    </row>
    <row r="8" ht="46" customHeight="1">
      <c r="B8" s="3" t="inlineStr">
        <is>
          <t>5. Paid Test</t>
        </is>
      </c>
      <c r="C8" s="4" t="inlineStr">
        <is>
          <t>Landing cell results. Enter your CPC and the max allowable CAC from the economics model, and the required conversion rate - the Gate 4 threshold - is derived for you. Set that number BEFORE the test finishes.</t>
        </is>
      </c>
    </row>
    <row r="9" ht="46" customHeight="1">
      <c r="B9" s="3" t="inlineStr">
        <is>
          <t>6. Gate Review</t>
        </is>
      </c>
      <c r="C9" s="4" t="inlineStr">
        <is>
          <t>The 30 September decision. Enter each gate's observed value; pass/fail is computed. Fill it in before the meeting discusses what to do about the results.</t>
        </is>
      </c>
    </row>
    <row r="11" ht="46" customHeight="1">
      <c r="B11" s="5" t="inlineStr">
        <is>
          <t>Standing rule</t>
        </is>
      </c>
      <c r="C11" s="6" t="inlineStr">
        <is>
          <t>A failed gate changes the plan. It does not get solved with more ad spend. Agree the thresholds in writing before the data arrives - a threshold negotiated after you have seen the result is not a threshold.</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
  <sheetViews>
    <sheetView workbookViewId="0">
      <pane ySplit="4" topLeftCell="A5" activePane="bottomLeft" state="frozen"/>
      <selection pane="bottomLeft" activeCell="A1" sqref="A1"/>
    </sheetView>
  </sheetViews>
  <sheetFormatPr baseColWidth="8" defaultRowHeight="15"/>
  <cols>
    <col width="4" customWidth="1" min="1" max="1"/>
    <col width="10" customWidth="1" min="2" max="2"/>
    <col width="10" customWidth="1" min="3" max="3"/>
    <col width="8" customWidth="1" min="4" max="4"/>
    <col width="10" customWidth="1" min="5" max="5"/>
    <col width="12" customWidth="1" min="6" max="6"/>
    <col width="34" customWidth="1" min="7" max="7"/>
    <col width="34" customWidth="1" min="8" max="8"/>
    <col width="12" customWidth="1" min="9" max="9"/>
    <col width="12" customWidth="1" min="10" max="10"/>
    <col width="26" customWidth="1" min="11" max="11"/>
    <col width="26" customWidth="1" min="12" max="12"/>
    <col width="24" customWidth="1" min="13" max="13"/>
    <col width="34" customWidth="1" min="14" max="14"/>
    <col width="10" customWidth="1" min="15" max="15"/>
  </cols>
  <sheetData>
    <row r="1" ht="24" customHeight="1">
      <c r="A1" s="1" t="inlineStr">
        <is>
          <t>Parent depth interviews - language bank</t>
        </is>
      </c>
    </row>
    <row r="2" ht="30" customHeight="1">
      <c r="A2" s="2" t="inlineStr">
        <is>
          <t>12 parents. Fill each row within an hour of the session, in the parent's own words. Your summary of what they meant is worth far less than the sentence they actually said.</t>
        </is>
      </c>
    </row>
    <row r="4" ht="34" customHeight="1">
      <c r="A4" s="7" t="inlineStr">
        <is>
          <t>#</t>
        </is>
      </c>
      <c r="B4" s="7" t="inlineStr">
        <is>
          <t>Date</t>
        </is>
      </c>
      <c r="C4" s="7" t="inlineStr">
        <is>
          <t>City</t>
        </is>
      </c>
      <c r="D4" s="7" t="inlineStr">
        <is>
          <t>Child age</t>
        </is>
      </c>
      <c r="E4" s="7" t="inlineStr">
        <is>
          <t>Parent role</t>
        </is>
      </c>
      <c r="F4" s="7" t="inlineStr">
        <is>
          <t>Home language</t>
        </is>
      </c>
      <c r="G4" s="7" t="inlineStr">
        <is>
          <t>VERBATIM: what they said it was (Q13)</t>
        </is>
      </c>
      <c r="H4" s="7" t="inlineStr">
        <is>
          <t>VERBATIM: useful-vs-filler line (Q10/11)</t>
        </is>
      </c>
      <c r="I4" s="7" t="inlineStr">
        <is>
          <t>Unanchored price guess SAR (Q14)</t>
        </is>
      </c>
      <c r="J4" s="7" t="inlineStr">
        <is>
          <t>Screens raised unprompted? (Y/N)</t>
        </is>
      </c>
      <c r="K4" s="7" t="inlineStr">
        <is>
          <t>Top objection</t>
        </is>
      </c>
      <c r="L4" s="7" t="inlineStr">
        <is>
          <t>Proof demanded (Q18)</t>
        </is>
      </c>
      <c r="M4" s="7" t="inlineStr">
        <is>
          <t>Deal-breaker (Q19)</t>
        </is>
      </c>
      <c r="N4" s="7" t="inlineStr">
        <is>
          <t>Best single sentence</t>
        </is>
      </c>
      <c r="O4" s="7" t="inlineStr">
        <is>
          <t>Your confidence 1-5</t>
        </is>
      </c>
    </row>
    <row r="5" ht="30" customHeight="1">
      <c r="A5" s="8" t="n">
        <v>1</v>
      </c>
      <c r="B5" s="9" t="n"/>
      <c r="C5" s="9" t="n"/>
      <c r="D5" s="9" t="n"/>
      <c r="E5" s="9" t="n"/>
      <c r="F5" s="9" t="n"/>
      <c r="G5" s="9" t="n"/>
      <c r="H5" s="9" t="n"/>
      <c r="I5" s="9" t="n"/>
      <c r="J5" s="9" t="n"/>
      <c r="K5" s="9" t="n"/>
      <c r="L5" s="9" t="n"/>
      <c r="M5" s="9" t="n"/>
      <c r="N5" s="9" t="n"/>
      <c r="O5" s="9" t="n"/>
    </row>
    <row r="6" ht="30" customHeight="1">
      <c r="A6" s="8" t="n">
        <v>2</v>
      </c>
      <c r="B6" s="9" t="n"/>
      <c r="C6" s="9" t="n"/>
      <c r="D6" s="9" t="n"/>
      <c r="E6" s="9" t="n"/>
      <c r="F6" s="9" t="n"/>
      <c r="G6" s="9" t="n"/>
      <c r="H6" s="9" t="n"/>
      <c r="I6" s="9" t="n"/>
      <c r="J6" s="9" t="n"/>
      <c r="K6" s="9" t="n"/>
      <c r="L6" s="9" t="n"/>
      <c r="M6" s="9" t="n"/>
      <c r="N6" s="9" t="n"/>
      <c r="O6" s="9" t="n"/>
    </row>
    <row r="7" ht="30" customHeight="1">
      <c r="A7" s="8" t="n">
        <v>3</v>
      </c>
      <c r="B7" s="9" t="n"/>
      <c r="C7" s="9" t="n"/>
      <c r="D7" s="9" t="n"/>
      <c r="E7" s="9" t="n"/>
      <c r="F7" s="9" t="n"/>
      <c r="G7" s="9" t="n"/>
      <c r="H7" s="9" t="n"/>
      <c r="I7" s="9" t="n"/>
      <c r="J7" s="9" t="n"/>
      <c r="K7" s="9" t="n"/>
      <c r="L7" s="9" t="n"/>
      <c r="M7" s="9" t="n"/>
      <c r="N7" s="9" t="n"/>
      <c r="O7" s="9" t="n"/>
    </row>
    <row r="8" ht="30" customHeight="1">
      <c r="A8" s="8" t="n">
        <v>4</v>
      </c>
      <c r="B8" s="9" t="n"/>
      <c r="C8" s="9" t="n"/>
      <c r="D8" s="9" t="n"/>
      <c r="E8" s="9" t="n"/>
      <c r="F8" s="9" t="n"/>
      <c r="G8" s="9" t="n"/>
      <c r="H8" s="9" t="n"/>
      <c r="I8" s="9" t="n"/>
      <c r="J8" s="9" t="n"/>
      <c r="K8" s="9" t="n"/>
      <c r="L8" s="9" t="n"/>
      <c r="M8" s="9" t="n"/>
      <c r="N8" s="9" t="n"/>
      <c r="O8" s="9" t="n"/>
    </row>
    <row r="9" ht="30" customHeight="1">
      <c r="A9" s="8" t="n">
        <v>5</v>
      </c>
      <c r="B9" s="9" t="n"/>
      <c r="C9" s="9" t="n"/>
      <c r="D9" s="9" t="n"/>
      <c r="E9" s="9" t="n"/>
      <c r="F9" s="9" t="n"/>
      <c r="G9" s="9" t="n"/>
      <c r="H9" s="9" t="n"/>
      <c r="I9" s="9" t="n"/>
      <c r="J9" s="9" t="n"/>
      <c r="K9" s="9" t="n"/>
      <c r="L9" s="9" t="n"/>
      <c r="M9" s="9" t="n"/>
      <c r="N9" s="9" t="n"/>
      <c r="O9" s="9" t="n"/>
    </row>
    <row r="10" ht="30" customHeight="1">
      <c r="A10" s="8" t="n">
        <v>6</v>
      </c>
      <c r="B10" s="9" t="n"/>
      <c r="C10" s="9" t="n"/>
      <c r="D10" s="9" t="n"/>
      <c r="E10" s="9" t="n"/>
      <c r="F10" s="9" t="n"/>
      <c r="G10" s="9" t="n"/>
      <c r="H10" s="9" t="n"/>
      <c r="I10" s="9" t="n"/>
      <c r="J10" s="9" t="n"/>
      <c r="K10" s="9" t="n"/>
      <c r="L10" s="9" t="n"/>
      <c r="M10" s="9" t="n"/>
      <c r="N10" s="9" t="n"/>
      <c r="O10" s="9" t="n"/>
    </row>
    <row r="11" ht="30" customHeight="1">
      <c r="A11" s="8" t="n">
        <v>7</v>
      </c>
      <c r="B11" s="9" t="n"/>
      <c r="C11" s="9" t="n"/>
      <c r="D11" s="9" t="n"/>
      <c r="E11" s="9" t="n"/>
      <c r="F11" s="9" t="n"/>
      <c r="G11" s="9" t="n"/>
      <c r="H11" s="9" t="n"/>
      <c r="I11" s="9" t="n"/>
      <c r="J11" s="9" t="n"/>
      <c r="K11" s="9" t="n"/>
      <c r="L11" s="9" t="n"/>
      <c r="M11" s="9" t="n"/>
      <c r="N11" s="9" t="n"/>
      <c r="O11" s="9" t="n"/>
    </row>
    <row r="12" ht="30" customHeight="1">
      <c r="A12" s="8" t="n">
        <v>8</v>
      </c>
      <c r="B12" s="9" t="n"/>
      <c r="C12" s="9" t="n"/>
      <c r="D12" s="9" t="n"/>
      <c r="E12" s="9" t="n"/>
      <c r="F12" s="9" t="n"/>
      <c r="G12" s="9" t="n"/>
      <c r="H12" s="9" t="n"/>
      <c r="I12" s="9" t="n"/>
      <c r="J12" s="9" t="n"/>
      <c r="K12" s="9" t="n"/>
      <c r="L12" s="9" t="n"/>
      <c r="M12" s="9" t="n"/>
      <c r="N12" s="9" t="n"/>
      <c r="O12" s="9" t="n"/>
    </row>
    <row r="13" ht="30" customHeight="1">
      <c r="A13" s="8" t="n">
        <v>9</v>
      </c>
      <c r="B13" s="9" t="n"/>
      <c r="C13" s="9" t="n"/>
      <c r="D13" s="9" t="n"/>
      <c r="E13" s="9" t="n"/>
      <c r="F13" s="9" t="n"/>
      <c r="G13" s="9" t="n"/>
      <c r="H13" s="9" t="n"/>
      <c r="I13" s="9" t="n"/>
      <c r="J13" s="9" t="n"/>
      <c r="K13" s="9" t="n"/>
      <c r="L13" s="9" t="n"/>
      <c r="M13" s="9" t="n"/>
      <c r="N13" s="9" t="n"/>
      <c r="O13" s="9" t="n"/>
    </row>
    <row r="14" ht="30" customHeight="1">
      <c r="A14" s="8" t="n">
        <v>10</v>
      </c>
      <c r="B14" s="9" t="n"/>
      <c r="C14" s="9" t="n"/>
      <c r="D14" s="9" t="n"/>
      <c r="E14" s="9" t="n"/>
      <c r="F14" s="9" t="n"/>
      <c r="G14" s="9" t="n"/>
      <c r="H14" s="9" t="n"/>
      <c r="I14" s="9" t="n"/>
      <c r="J14" s="9" t="n"/>
      <c r="K14" s="9" t="n"/>
      <c r="L14" s="9" t="n"/>
      <c r="M14" s="9" t="n"/>
      <c r="N14" s="9" t="n"/>
      <c r="O14" s="9" t="n"/>
    </row>
    <row r="15" ht="30" customHeight="1">
      <c r="A15" s="8" t="n">
        <v>11</v>
      </c>
      <c r="B15" s="9" t="n"/>
      <c r="C15" s="9" t="n"/>
      <c r="D15" s="9" t="n"/>
      <c r="E15" s="9" t="n"/>
      <c r="F15" s="9" t="n"/>
      <c r="G15" s="9" t="n"/>
      <c r="H15" s="9" t="n"/>
      <c r="I15" s="9" t="n"/>
      <c r="J15" s="9" t="n"/>
      <c r="K15" s="9" t="n"/>
      <c r="L15" s="9" t="n"/>
      <c r="M15" s="9" t="n"/>
      <c r="N15" s="9" t="n"/>
      <c r="O15" s="9" t="n"/>
    </row>
    <row r="16" ht="30" customHeight="1">
      <c r="A16" s="8" t="n">
        <v>12</v>
      </c>
      <c r="B16" s="9" t="n"/>
      <c r="C16" s="9" t="n"/>
      <c r="D16" s="9" t="n"/>
      <c r="E16" s="9" t="n"/>
      <c r="F16" s="9" t="n"/>
      <c r="G16" s="9" t="n"/>
      <c r="H16" s="9" t="n"/>
      <c r="I16" s="9" t="n"/>
      <c r="J16" s="9" t="n"/>
      <c r="K16" s="9" t="n"/>
      <c r="L16" s="9" t="n"/>
      <c r="M16" s="9" t="n"/>
      <c r="N16" s="9" t="n"/>
      <c r="O16" s="9" t="n"/>
    </row>
    <row r="18">
      <c r="A18" s="5" t="inlineStr">
        <is>
          <t>COUNTED OUTPUTS</t>
        </is>
      </c>
    </row>
    <row r="19">
      <c r="A19" s="10" t="inlineStr">
        <is>
          <t>Parents who raised screens unprompted (of 12)</t>
        </is>
      </c>
      <c r="I19" s="11">
        <f>COUNTIF(J5:J16,"Y")</f>
        <v/>
      </c>
    </row>
    <row r="20">
      <c r="A20" s="10" t="inlineStr">
        <is>
          <t>Median unanchored price guess (SAR)</t>
        </is>
      </c>
      <c r="I20" s="11">
        <f>IFERROR(MEDIAN(I5:I16),"")</f>
        <v/>
      </c>
    </row>
    <row r="21">
      <c r="A21" s="10" t="inlineStr">
        <is>
          <t>Range of price guesses</t>
        </is>
      </c>
      <c r="I21" s="11">
        <f>IFERROR(MIN(I5:I16)&amp;" - "&amp;MAX(I5:I16),"")</f>
        <v/>
      </c>
    </row>
    <row r="22">
      <c r="A22" s="10" t="inlineStr">
        <is>
          <t>Mean founder confidence (1-5)</t>
        </is>
      </c>
      <c r="I22" s="11">
        <f>IFERROR(ROUND(AVERAGE(O5:O16),2),"")</f>
        <v/>
      </c>
    </row>
    <row r="23">
      <c r="A23" s="10" t="inlineStr">
        <is>
          <t>Interviews completed</t>
        </is>
      </c>
      <c r="I23" s="11">
        <f>COUNTA(B5:B16)</f>
        <v/>
      </c>
    </row>
    <row r="25" ht="28" customHeight="1">
      <c r="A25" s="2" t="inlineStr">
        <is>
          <t>Objections repeated three or more times are the fifth counted output - code them by hand from column K. Three of twelve is 25% of your sample, and it is the objection that will appear in your reviews.</t>
        </is>
      </c>
    </row>
  </sheetData>
  <mergeCells count="8">
    <mergeCell ref="A2:L2"/>
    <mergeCell ref="A21:H21"/>
    <mergeCell ref="A25:L25"/>
    <mergeCell ref="A20:H20"/>
    <mergeCell ref="A1:L1"/>
    <mergeCell ref="A19:H19"/>
    <mergeCell ref="A23:H23"/>
    <mergeCell ref="A22:H22"/>
  </mergeCells>
  <dataValidations count="2">
    <dataValidation sqref="J5:J16" showDropDown="0" showInputMessage="0" showErrorMessage="0" allowBlank="1" type="list">
      <formula1>"Y,N"</formula1>
    </dataValidation>
    <dataValidation sqref="O5:O16" showDropDown="0" showInputMessage="0" showErrorMessage="0" allowBlank="1"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0"/>
  <sheetViews>
    <sheetView workbookViewId="0">
      <pane ySplit="4" topLeftCell="A5" activePane="bottomLeft" state="frozen"/>
      <selection pane="bottomLeft" activeCell="A1" sqref="A1"/>
    </sheetView>
  </sheetViews>
  <sheetFormatPr baseColWidth="8" defaultRowHeight="15"/>
  <cols>
    <col width="4" customWidth="1" min="1" max="1"/>
    <col width="9" customWidth="1" min="2" max="2"/>
    <col width="12" customWidth="1" min="3" max="3"/>
    <col width="14" customWidth="1" min="4" max="4"/>
    <col width="12" customWidth="1" min="5" max="5"/>
    <col width="11" customWidth="1" min="6" max="6"/>
    <col width="11" customWidth="1" min="7" max="7"/>
    <col width="14" customWidth="1" min="8" max="8"/>
    <col width="14" customWidth="1" min="9" max="9"/>
    <col width="12" customWidth="1" min="10" max="10"/>
    <col width="14" customWidth="1" min="11" max="11"/>
    <col width="16" customWidth="1" min="12" max="12"/>
    <col width="12" customWidth="1" min="13" max="13"/>
    <col width="13" customWidth="1" min="14" max="14"/>
    <col width="40" customWidth="1" min="15" max="15"/>
  </cols>
  <sheetData>
    <row r="1" ht="24" customHeight="1">
      <c r="A1" s="1" t="inlineStr">
        <is>
          <t>Child play-test sessions</t>
        </is>
      </c>
    </row>
    <row r="2" ht="30" customHeight="1">
      <c r="A2" s="2" t="inlineStr">
        <is>
          <t>15 children, 15-20 minutes each. Gate 2 computes at the bottom: most children complete 15 minutes without repeated adult rescue (3 or more interventions).</t>
        </is>
      </c>
    </row>
    <row r="4" ht="34" customHeight="1">
      <c r="A4" s="7" t="inlineStr">
        <is>
          <t>#</t>
        </is>
      </c>
      <c r="B4" s="7" t="inlineStr">
        <is>
          <t>Child age</t>
        </is>
      </c>
      <c r="C4" s="7" t="inlineStr">
        <is>
          <t>Colors at home? (Y/N)</t>
        </is>
      </c>
      <c r="D4" s="7" t="inlineStr">
        <is>
          <t>Min to first disengagement</t>
        </is>
      </c>
      <c r="E4" s="7" t="inlineStr">
        <is>
          <t>Adult rescues (count)</t>
        </is>
      </c>
      <c r="F4" s="7" t="inlineStr">
        <is>
          <t>Pages attempted</t>
        </is>
      </c>
      <c r="G4" s="7" t="inlineStr">
        <is>
          <t>Pages completed</t>
        </is>
      </c>
      <c r="H4" s="7" t="inlineStr">
        <is>
          <t>Noticed discovery prompt? (Y/N)</t>
        </is>
      </c>
      <c r="I4" s="7" t="inlineStr">
        <is>
          <t>Acted on creative prompt? (Y/N)</t>
        </is>
      </c>
      <c r="J4" s="7" t="inlineStr">
        <is>
          <t>First page picked (sheet #)</t>
        </is>
      </c>
      <c r="K4" s="7" t="inlineStr">
        <is>
          <t>Media used</t>
        </is>
      </c>
      <c r="L4" s="7" t="inlineStr">
        <is>
          <t>MARKER BLEED-THROUGH? (Y/N)</t>
        </is>
      </c>
      <c r="M4" s="7" t="inlineStr">
        <is>
          <t>Tore sheet out OK? (Y/N)</t>
        </is>
      </c>
      <c r="N4" s="7" t="inlineStr">
        <is>
          <t>Wanted to keep/show? (Y/N)</t>
        </is>
      </c>
      <c r="O4" s="7" t="inlineStr">
        <is>
          <t>Verbatim quote</t>
        </is>
      </c>
    </row>
    <row r="5" ht="30" customHeight="1">
      <c r="A5" s="8" t="n">
        <v>1</v>
      </c>
      <c r="B5" s="9" t="n"/>
      <c r="C5" s="9" t="n"/>
      <c r="D5" s="9" t="n"/>
      <c r="E5" s="9" t="n"/>
      <c r="F5" s="9" t="n"/>
      <c r="G5" s="9" t="n"/>
      <c r="H5" s="9" t="n"/>
      <c r="I5" s="9" t="n"/>
      <c r="J5" s="9" t="n"/>
      <c r="K5" s="9" t="n"/>
      <c r="L5" s="9" t="n"/>
      <c r="M5" s="9" t="n"/>
      <c r="N5" s="9" t="n"/>
      <c r="O5" s="9" t="n"/>
    </row>
    <row r="6" ht="30" customHeight="1">
      <c r="A6" s="8" t="n">
        <v>2</v>
      </c>
      <c r="B6" s="9" t="n"/>
      <c r="C6" s="9" t="n"/>
      <c r="D6" s="9" t="n"/>
      <c r="E6" s="9" t="n"/>
      <c r="F6" s="9" t="n"/>
      <c r="G6" s="9" t="n"/>
      <c r="H6" s="9" t="n"/>
      <c r="I6" s="9" t="n"/>
      <c r="J6" s="9" t="n"/>
      <c r="K6" s="9" t="n"/>
      <c r="L6" s="9" t="n"/>
      <c r="M6" s="9" t="n"/>
      <c r="N6" s="9" t="n"/>
      <c r="O6" s="9" t="n"/>
    </row>
    <row r="7" ht="30" customHeight="1">
      <c r="A7" s="8" t="n">
        <v>3</v>
      </c>
      <c r="B7" s="9" t="n"/>
      <c r="C7" s="9" t="n"/>
      <c r="D7" s="9" t="n"/>
      <c r="E7" s="9" t="n"/>
      <c r="F7" s="9" t="n"/>
      <c r="G7" s="9" t="n"/>
      <c r="H7" s="9" t="n"/>
      <c r="I7" s="9" t="n"/>
      <c r="J7" s="9" t="n"/>
      <c r="K7" s="9" t="n"/>
      <c r="L7" s="9" t="n"/>
      <c r="M7" s="9" t="n"/>
      <c r="N7" s="9" t="n"/>
      <c r="O7" s="9" t="n"/>
    </row>
    <row r="8" ht="30" customHeight="1">
      <c r="A8" s="8" t="n">
        <v>4</v>
      </c>
      <c r="B8" s="9" t="n"/>
      <c r="C8" s="9" t="n"/>
      <c r="D8" s="9" t="n"/>
      <c r="E8" s="9" t="n"/>
      <c r="F8" s="9" t="n"/>
      <c r="G8" s="9" t="n"/>
      <c r="H8" s="9" t="n"/>
      <c r="I8" s="9" t="n"/>
      <c r="J8" s="9" t="n"/>
      <c r="K8" s="9" t="n"/>
      <c r="L8" s="9" t="n"/>
      <c r="M8" s="9" t="n"/>
      <c r="N8" s="9" t="n"/>
      <c r="O8" s="9" t="n"/>
    </row>
    <row r="9" ht="30" customHeight="1">
      <c r="A9" s="8" t="n">
        <v>5</v>
      </c>
      <c r="B9" s="9" t="n"/>
      <c r="C9" s="9" t="n"/>
      <c r="D9" s="9" t="n"/>
      <c r="E9" s="9" t="n"/>
      <c r="F9" s="9" t="n"/>
      <c r="G9" s="9" t="n"/>
      <c r="H9" s="9" t="n"/>
      <c r="I9" s="9" t="n"/>
      <c r="J9" s="9" t="n"/>
      <c r="K9" s="9" t="n"/>
      <c r="L9" s="9" t="n"/>
      <c r="M9" s="9" t="n"/>
      <c r="N9" s="9" t="n"/>
      <c r="O9" s="9" t="n"/>
    </row>
    <row r="10" ht="30" customHeight="1">
      <c r="A10" s="8" t="n">
        <v>6</v>
      </c>
      <c r="B10" s="9" t="n"/>
      <c r="C10" s="9" t="n"/>
      <c r="D10" s="9" t="n"/>
      <c r="E10" s="9" t="n"/>
      <c r="F10" s="9" t="n"/>
      <c r="G10" s="9" t="n"/>
      <c r="H10" s="9" t="n"/>
      <c r="I10" s="9" t="n"/>
      <c r="J10" s="9" t="n"/>
      <c r="K10" s="9" t="n"/>
      <c r="L10" s="9" t="n"/>
      <c r="M10" s="9" t="n"/>
      <c r="N10" s="9" t="n"/>
      <c r="O10" s="9" t="n"/>
    </row>
    <row r="11" ht="30" customHeight="1">
      <c r="A11" s="8" t="n">
        <v>7</v>
      </c>
      <c r="B11" s="9" t="n"/>
      <c r="C11" s="9" t="n"/>
      <c r="D11" s="9" t="n"/>
      <c r="E11" s="9" t="n"/>
      <c r="F11" s="9" t="n"/>
      <c r="G11" s="9" t="n"/>
      <c r="H11" s="9" t="n"/>
      <c r="I11" s="9" t="n"/>
      <c r="J11" s="9" t="n"/>
      <c r="K11" s="9" t="n"/>
      <c r="L11" s="9" t="n"/>
      <c r="M11" s="9" t="n"/>
      <c r="N11" s="9" t="n"/>
      <c r="O11" s="9" t="n"/>
    </row>
    <row r="12" ht="30" customHeight="1">
      <c r="A12" s="8" t="n">
        <v>8</v>
      </c>
      <c r="B12" s="9" t="n"/>
      <c r="C12" s="9" t="n"/>
      <c r="D12" s="9" t="n"/>
      <c r="E12" s="9" t="n"/>
      <c r="F12" s="9" t="n"/>
      <c r="G12" s="9" t="n"/>
      <c r="H12" s="9" t="n"/>
      <c r="I12" s="9" t="n"/>
      <c r="J12" s="9" t="n"/>
      <c r="K12" s="9" t="n"/>
      <c r="L12" s="9" t="n"/>
      <c r="M12" s="9" t="n"/>
      <c r="N12" s="9" t="n"/>
      <c r="O12" s="9" t="n"/>
    </row>
    <row r="13" ht="30" customHeight="1">
      <c r="A13" s="8" t="n">
        <v>9</v>
      </c>
      <c r="B13" s="9" t="n"/>
      <c r="C13" s="9" t="n"/>
      <c r="D13" s="9" t="n"/>
      <c r="E13" s="9" t="n"/>
      <c r="F13" s="9" t="n"/>
      <c r="G13" s="9" t="n"/>
      <c r="H13" s="9" t="n"/>
      <c r="I13" s="9" t="n"/>
      <c r="J13" s="9" t="n"/>
      <c r="K13" s="9" t="n"/>
      <c r="L13" s="9" t="n"/>
      <c r="M13" s="9" t="n"/>
      <c r="N13" s="9" t="n"/>
      <c r="O13" s="9" t="n"/>
    </row>
    <row r="14" ht="30" customHeight="1">
      <c r="A14" s="8" t="n">
        <v>10</v>
      </c>
      <c r="B14" s="9" t="n"/>
      <c r="C14" s="9" t="n"/>
      <c r="D14" s="9" t="n"/>
      <c r="E14" s="9" t="n"/>
      <c r="F14" s="9" t="n"/>
      <c r="G14" s="9" t="n"/>
      <c r="H14" s="9" t="n"/>
      <c r="I14" s="9" t="n"/>
      <c r="J14" s="9" t="n"/>
      <c r="K14" s="9" t="n"/>
      <c r="L14" s="9" t="n"/>
      <c r="M14" s="9" t="n"/>
      <c r="N14" s="9" t="n"/>
      <c r="O14" s="9" t="n"/>
    </row>
    <row r="15" ht="30" customHeight="1">
      <c r="A15" s="8" t="n">
        <v>11</v>
      </c>
      <c r="B15" s="9" t="n"/>
      <c r="C15" s="9" t="n"/>
      <c r="D15" s="9" t="n"/>
      <c r="E15" s="9" t="n"/>
      <c r="F15" s="9" t="n"/>
      <c r="G15" s="9" t="n"/>
      <c r="H15" s="9" t="n"/>
      <c r="I15" s="9" t="n"/>
      <c r="J15" s="9" t="n"/>
      <c r="K15" s="9" t="n"/>
      <c r="L15" s="9" t="n"/>
      <c r="M15" s="9" t="n"/>
      <c r="N15" s="9" t="n"/>
      <c r="O15" s="9" t="n"/>
    </row>
    <row r="16" ht="30" customHeight="1">
      <c r="A16" s="8" t="n">
        <v>12</v>
      </c>
      <c r="B16" s="9" t="n"/>
      <c r="C16" s="9" t="n"/>
      <c r="D16" s="9" t="n"/>
      <c r="E16" s="9" t="n"/>
      <c r="F16" s="9" t="n"/>
      <c r="G16" s="9" t="n"/>
      <c r="H16" s="9" t="n"/>
      <c r="I16" s="9" t="n"/>
      <c r="J16" s="9" t="n"/>
      <c r="K16" s="9" t="n"/>
      <c r="L16" s="9" t="n"/>
      <c r="M16" s="9" t="n"/>
      <c r="N16" s="9" t="n"/>
      <c r="O16" s="9" t="n"/>
    </row>
    <row r="17" ht="30" customHeight="1">
      <c r="A17" s="8" t="n">
        <v>13</v>
      </c>
      <c r="B17" s="9" t="n"/>
      <c r="C17" s="9" t="n"/>
      <c r="D17" s="9" t="n"/>
      <c r="E17" s="9" t="n"/>
      <c r="F17" s="9" t="n"/>
      <c r="G17" s="9" t="n"/>
      <c r="H17" s="9" t="n"/>
      <c r="I17" s="9" t="n"/>
      <c r="J17" s="9" t="n"/>
      <c r="K17" s="9" t="n"/>
      <c r="L17" s="9" t="n"/>
      <c r="M17" s="9" t="n"/>
      <c r="N17" s="9" t="n"/>
      <c r="O17" s="9" t="n"/>
    </row>
    <row r="18" ht="30" customHeight="1">
      <c r="A18" s="8" t="n">
        <v>14</v>
      </c>
      <c r="B18" s="9" t="n"/>
      <c r="C18" s="9" t="n"/>
      <c r="D18" s="9" t="n"/>
      <c r="E18" s="9" t="n"/>
      <c r="F18" s="9" t="n"/>
      <c r="G18" s="9" t="n"/>
      <c r="H18" s="9" t="n"/>
      <c r="I18" s="9" t="n"/>
      <c r="J18" s="9" t="n"/>
      <c r="K18" s="9" t="n"/>
      <c r="L18" s="9" t="n"/>
      <c r="M18" s="9" t="n"/>
      <c r="N18" s="9" t="n"/>
      <c r="O18" s="9" t="n"/>
    </row>
    <row r="19" ht="30" customHeight="1">
      <c r="A19" s="8" t="n">
        <v>15</v>
      </c>
      <c r="B19" s="9" t="n"/>
      <c r="C19" s="9" t="n"/>
      <c r="D19" s="9" t="n"/>
      <c r="E19" s="9" t="n"/>
      <c r="F19" s="9" t="n"/>
      <c r="G19" s="9" t="n"/>
      <c r="H19" s="9" t="n"/>
      <c r="I19" s="9" t="n"/>
      <c r="J19" s="9" t="n"/>
      <c r="K19" s="9" t="n"/>
      <c r="L19" s="9" t="n"/>
      <c r="M19" s="9" t="n"/>
      <c r="N19" s="9" t="n"/>
      <c r="O19" s="9" t="n"/>
    </row>
    <row r="21">
      <c r="A21" s="5" t="inlineStr">
        <is>
          <t>GATE 2 ARITHMETIC</t>
        </is>
      </c>
    </row>
    <row r="22">
      <c r="A22" s="10" t="inlineStr">
        <is>
          <t>Sessions completed</t>
        </is>
      </c>
      <c r="J22" s="11">
        <f>COUNT(D5:D19)</f>
        <v/>
      </c>
      <c r="K22" s="12" t="n"/>
      <c r="L22" s="13" t="n"/>
    </row>
    <row r="23">
      <c r="A23" s="10" t="inlineStr">
        <is>
          <t>Children reaching 15 min without repeated rescue</t>
        </is>
      </c>
      <c r="J23" s="11">
        <f>SUMPRODUCT((D5:D19&gt;=15)*(E5:E19&lt;3)*(D5:D19&lt;&gt;""))</f>
        <v/>
      </c>
      <c r="K23" s="12" t="n"/>
      <c r="L23" s="13" t="n"/>
    </row>
    <row r="24">
      <c r="A24" s="10" t="inlineStr">
        <is>
          <t>% passing (Gate 2 needs a clear majority)</t>
        </is>
      </c>
      <c r="J24" s="11">
        <f>IFERROR(TEXT(SUMPRODUCT((D5:D19&gt;=15)*(E5:E19&lt;3)*(D5:D19&lt;&gt;""))/COUNT(D5:D19),"0%"),"")</f>
        <v/>
      </c>
      <c r="K24" s="12" t="n"/>
      <c r="L24" s="13" t="n"/>
    </row>
    <row r="25">
      <c r="A25" s="10" t="inlineStr">
        <is>
          <t>Median minutes to first disengagement</t>
        </is>
      </c>
      <c r="J25" s="11">
        <f>IFERROR(MEDIAN(D5:D19),"")</f>
        <v/>
      </c>
      <c r="K25" s="12" t="n"/>
      <c r="L25" s="13" t="n"/>
    </row>
    <row r="26">
      <c r="A26" s="10" t="inlineStr">
        <is>
          <t>% who noticed a discovery prompt</t>
        </is>
      </c>
      <c r="J26" s="11">
        <f>IFERROR(TEXT(COUNTIF(H5:H19,"Y")/COUNTA(H5:H19),"0%"),"")</f>
        <v/>
      </c>
      <c r="K26" s="12" t="n"/>
      <c r="L26" s="13" t="n"/>
    </row>
    <row r="27">
      <c r="A27" s="10" t="inlineStr">
        <is>
          <t>% who acted on a creative prompt</t>
        </is>
      </c>
      <c r="J27" s="11">
        <f>IFERROR(TEXT(COUNTIF(I5:I19,"Y")/COUNTA(I5:I19),"0%"),"")</f>
        <v/>
      </c>
      <c r="K27" s="12" t="n"/>
      <c r="L27" s="13" t="n"/>
    </row>
    <row r="28">
      <c r="A28" s="10" t="inlineStr">
        <is>
          <t>ANY marker bleed-through? (any Yes = re-spec paper)</t>
        </is>
      </c>
      <c r="J28" s="11">
        <f>IF(COUNTIF(L5:L19,"Y")&gt;0,"YES - RE-SPEC PAPER","none observed")</f>
        <v/>
      </c>
      <c r="K28" s="12" t="n"/>
      <c r="L28" s="13" t="n"/>
    </row>
    <row r="30" ht="28" customHeight="1">
      <c r="A30" s="2" t="inlineStr">
        <is>
          <t>If the discovery-prompt or creative-prompt percentages come back low, that is a positioning failure rather than a design nit: 'creative time that teaches' is the lead message, and if the teaching is invisible in use the message is unsupported.</t>
        </is>
      </c>
    </row>
  </sheetData>
  <mergeCells count="17">
    <mergeCell ref="J25:L25"/>
    <mergeCell ref="A2:L2"/>
    <mergeCell ref="J24:L24"/>
    <mergeCell ref="A25:I25"/>
    <mergeCell ref="A30:L30"/>
    <mergeCell ref="J26:L26"/>
    <mergeCell ref="A28:I28"/>
    <mergeCell ref="J28:L28"/>
    <mergeCell ref="J22:L22"/>
    <mergeCell ref="A1:L1"/>
    <mergeCell ref="J27:L27"/>
    <mergeCell ref="J23:L23"/>
    <mergeCell ref="A23:I23"/>
    <mergeCell ref="A27:I27"/>
    <mergeCell ref="A22:I22"/>
    <mergeCell ref="A26:I26"/>
    <mergeCell ref="A24:I24"/>
  </mergeCells>
  <dataValidations count="1">
    <dataValidation sqref="C5:C19 H5:H19 I5:I19 L5:L19 M5:M19 N5:N19" showDropDown="0" showInputMessage="0" showErrorMessage="0" allowBlank="1"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50"/>
  <sheetViews>
    <sheetView workbookViewId="0">
      <pane ySplit="4" topLeftCell="A5" activePane="bottomLeft" state="frozen"/>
      <selection pane="bottomLeft" activeCell="A1" sqref="A1"/>
    </sheetView>
  </sheetViews>
  <sheetFormatPr baseColWidth="8" defaultRowHeight="15"/>
  <cols>
    <col width="9" customWidth="1" min="1" max="1"/>
    <col width="10" customWidth="1" min="2" max="2"/>
    <col width="8" customWidth="1" min="3" max="3"/>
    <col width="12" customWidth="1" min="4" max="4"/>
    <col width="12" customWidth="1" min="5" max="5"/>
    <col width="10" customWidth="1" min="6" max="6"/>
    <col width="10" customWidth="1" min="7" max="7"/>
    <col width="10" customWidth="1" min="8" max="8"/>
    <col width="10" customWidth="1" min="9" max="9"/>
    <col width="12" customWidth="1" min="10" max="10"/>
    <col width="8" customWidth="1" min="11" max="11"/>
    <col width="8" customWidth="1" min="12" max="12"/>
    <col width="8" customWidth="1" min="13" max="13"/>
    <col width="8" customWidth="1" min="14" max="14"/>
    <col width="8" customWidth="1" min="15" max="15"/>
    <col width="10" customWidth="1" min="16" max="16"/>
    <col width="10" customWidth="1" min="17" max="17"/>
    <col width="10" customWidth="1" min="18" max="18"/>
    <col width="34" customWidth="1" min="19" max="19"/>
    <col width="34" customWidth="1" min="20" max="20"/>
    <col width="20" customWidth="1" min="21" max="21"/>
    <col width="12" customWidth="1" min="22" max="22"/>
    <col width="16" customWidth="1" min="23" max="23"/>
    <col width="12" customWidth="1" min="24" max="24"/>
    <col width="12" customWidth="1" min="25" max="25"/>
    <col width="12" customWidth="1" min="26" max="26"/>
    <col width="9" customWidth="1" min="27" max="27"/>
  </cols>
  <sheetData>
    <row r="1" ht="24" customHeight="1">
      <c r="A1" s="1" t="inlineStr">
        <is>
          <t>Survey export - paste target</t>
        </is>
      </c>
    </row>
    <row r="2" ht="30" customHeight="1">
      <c r="A2" s="2" t="inlineStr">
        <is>
          <t>Paste the raw export here, one respondent per row, column order per 04-survey-instrument.md. Keep this tab raw; do any cleaning in a copy.</t>
        </is>
      </c>
    </row>
    <row r="4" ht="34" customHeight="1">
      <c r="A4" s="7" t="inlineStr">
        <is>
          <t>Resp ID</t>
        </is>
      </c>
      <c r="B4" s="7" t="inlineStr">
        <is>
          <t>City</t>
        </is>
      </c>
      <c r="C4" s="7" t="inlineStr">
        <is>
          <t>Child age</t>
        </is>
      </c>
      <c r="D4" s="7" t="inlineStr">
        <is>
          <t>Home language</t>
        </is>
      </c>
      <c r="E4" s="7" t="inlineStr">
        <is>
          <t>Saudi/Resident</t>
        </is>
      </c>
      <c r="F4" s="7" t="inlineStr">
        <is>
          <t>A1 purchases 6mo</t>
        </is>
      </c>
      <c r="G4" s="7" t="inlineStr">
        <is>
          <t>A2 times used</t>
        </is>
      </c>
      <c r="H4" s="7" t="inlineStr">
        <is>
          <t>A3 books at home</t>
        </is>
      </c>
      <c r="I4" s="7" t="inlineStr">
        <is>
          <t>A4 screen hrs</t>
        </is>
      </c>
      <c r="J4" s="7" t="inlineStr">
        <is>
          <t>A5 bought Saudi-themed</t>
        </is>
      </c>
      <c r="K4" s="7" t="inlineStr">
        <is>
          <t>B5 Learn</t>
        </is>
      </c>
      <c r="L4" s="7" t="inlineStr">
        <is>
          <t>B5 Screen</t>
        </is>
      </c>
      <c r="M4" s="7" t="inlineStr">
        <is>
          <t>B5 Culture</t>
        </is>
      </c>
      <c r="N4" s="7" t="inlineStr">
        <is>
          <t>B5 Gift</t>
        </is>
      </c>
      <c r="O4" s="7" t="inlineStr">
        <is>
          <t>B5 Price</t>
        </is>
      </c>
      <c r="P4" s="7" t="inlineStr">
        <is>
          <t>Cell shown (A/B/C)</t>
        </is>
      </c>
      <c r="Q4" s="7" t="inlineStr">
        <is>
          <t>C1 relevance 1-5</t>
        </is>
      </c>
      <c r="R4" s="7" t="inlineStr">
        <is>
          <t>C2 difference 1-5</t>
        </is>
      </c>
      <c r="S4" s="7" t="inlineStr">
        <is>
          <t>C3 what they'd get (text)</t>
        </is>
      </c>
      <c r="T4" s="7" t="inlineStr">
        <is>
          <t>C4 first question (text)</t>
        </is>
      </c>
      <c r="U4" s="7" t="inlineStr">
        <is>
          <t>D2 top objection</t>
        </is>
      </c>
      <c r="V4" s="7" t="inlineStr">
        <is>
          <t>E1 self/gift</t>
        </is>
      </c>
      <c r="W4" s="7" t="inlineStr">
        <is>
          <t>E2 occasion</t>
        </is>
      </c>
      <c r="X4" s="7" t="inlineStr">
        <is>
          <t>E3 fair price band</t>
        </is>
      </c>
      <c r="Y4" s="7" t="inlineStr">
        <is>
          <t>E4 too expensive</t>
        </is>
      </c>
      <c r="Z4" s="7" t="inlineStr">
        <is>
          <t>E5 doubt quality</t>
        </is>
      </c>
      <c r="AA4" s="7" t="inlineStr">
        <is>
          <t>E6 opt-in</t>
        </is>
      </c>
    </row>
    <row r="5">
      <c r="A5" s="14" t="n"/>
      <c r="B5" s="14" t="n"/>
      <c r="C5" s="14" t="n"/>
      <c r="D5" s="14" t="n"/>
      <c r="E5" s="14" t="n"/>
      <c r="F5" s="14" t="n"/>
      <c r="G5" s="14" t="n"/>
      <c r="H5" s="14" t="n"/>
      <c r="I5" s="14" t="n"/>
      <c r="J5" s="14" t="n"/>
      <c r="K5" s="14" t="n"/>
      <c r="L5" s="14" t="n"/>
      <c r="M5" s="14" t="n"/>
      <c r="N5" s="14" t="n"/>
      <c r="O5" s="14" t="n"/>
      <c r="P5" s="14" t="n"/>
      <c r="Q5" s="14" t="n"/>
      <c r="R5" s="14" t="n"/>
      <c r="S5" s="14" t="n"/>
      <c r="T5" s="14" t="n"/>
      <c r="U5" s="14" t="n"/>
      <c r="V5" s="14" t="n"/>
      <c r="W5" s="14" t="n"/>
      <c r="X5" s="14" t="n"/>
      <c r="Y5" s="14" t="n"/>
      <c r="Z5" s="14" t="n"/>
      <c r="AA5" s="14" t="n"/>
    </row>
    <row r="6">
      <c r="A6" s="14" t="n"/>
      <c r="B6" s="14" t="n"/>
      <c r="C6" s="14" t="n"/>
      <c r="D6" s="14" t="n"/>
      <c r="E6" s="14" t="n"/>
      <c r="F6" s="14" t="n"/>
      <c r="G6" s="14" t="n"/>
      <c r="H6" s="14" t="n"/>
      <c r="I6" s="14" t="n"/>
      <c r="J6" s="14" t="n"/>
      <c r="K6" s="14" t="n"/>
      <c r="L6" s="14" t="n"/>
      <c r="M6" s="14" t="n"/>
      <c r="N6" s="14" t="n"/>
      <c r="O6" s="14" t="n"/>
      <c r="P6" s="14" t="n"/>
      <c r="Q6" s="14" t="n"/>
      <c r="R6" s="14" t="n"/>
      <c r="S6" s="14" t="n"/>
      <c r="T6" s="14" t="n"/>
      <c r="U6" s="14" t="n"/>
      <c r="V6" s="14" t="n"/>
      <c r="W6" s="14" t="n"/>
      <c r="X6" s="14" t="n"/>
      <c r="Y6" s="14" t="n"/>
      <c r="Z6" s="14" t="n"/>
      <c r="AA6" s="14" t="n"/>
    </row>
    <row r="7">
      <c r="A7" s="14" t="n"/>
      <c r="B7" s="14" t="n"/>
      <c r="C7" s="14" t="n"/>
      <c r="D7" s="14" t="n"/>
      <c r="E7" s="14" t="n"/>
      <c r="F7" s="14" t="n"/>
      <c r="G7" s="14" t="n"/>
      <c r="H7" s="14" t="n"/>
      <c r="I7" s="14" t="n"/>
      <c r="J7" s="14" t="n"/>
      <c r="K7" s="14" t="n"/>
      <c r="L7" s="14" t="n"/>
      <c r="M7" s="14" t="n"/>
      <c r="N7" s="14" t="n"/>
      <c r="O7" s="14" t="n"/>
      <c r="P7" s="14" t="n"/>
      <c r="Q7" s="14" t="n"/>
      <c r="R7" s="14" t="n"/>
      <c r="S7" s="14" t="n"/>
      <c r="T7" s="14" t="n"/>
      <c r="U7" s="14" t="n"/>
      <c r="V7" s="14" t="n"/>
      <c r="W7" s="14" t="n"/>
      <c r="X7" s="14" t="n"/>
      <c r="Y7" s="14" t="n"/>
      <c r="Z7" s="14" t="n"/>
      <c r="AA7" s="14" t="n"/>
    </row>
    <row r="8">
      <c r="A8" s="14" t="n"/>
      <c r="B8" s="14" t="n"/>
      <c r="C8" s="14" t="n"/>
      <c r="D8" s="14" t="n"/>
      <c r="E8" s="14" t="n"/>
      <c r="F8" s="14" t="n"/>
      <c r="G8" s="14" t="n"/>
      <c r="H8" s="14" t="n"/>
      <c r="I8" s="14" t="n"/>
      <c r="J8" s="14" t="n"/>
      <c r="K8" s="14" t="n"/>
      <c r="L8" s="14" t="n"/>
      <c r="M8" s="14" t="n"/>
      <c r="N8" s="14" t="n"/>
      <c r="O8" s="14" t="n"/>
      <c r="P8" s="14" t="n"/>
      <c r="Q8" s="14" t="n"/>
      <c r="R8" s="14" t="n"/>
      <c r="S8" s="14" t="n"/>
      <c r="T8" s="14" t="n"/>
      <c r="U8" s="14" t="n"/>
      <c r="V8" s="14" t="n"/>
      <c r="W8" s="14" t="n"/>
      <c r="X8" s="14" t="n"/>
      <c r="Y8" s="14" t="n"/>
      <c r="Z8" s="14" t="n"/>
      <c r="AA8" s="14" t="n"/>
    </row>
    <row r="9">
      <c r="A9" s="14" t="n"/>
      <c r="B9" s="14" t="n"/>
      <c r="C9" s="14" t="n"/>
      <c r="D9" s="14" t="n"/>
      <c r="E9" s="14" t="n"/>
      <c r="F9" s="14" t="n"/>
      <c r="G9" s="14" t="n"/>
      <c r="H9" s="14" t="n"/>
      <c r="I9" s="14" t="n"/>
      <c r="J9" s="14" t="n"/>
      <c r="K9" s="14" t="n"/>
      <c r="L9" s="14" t="n"/>
      <c r="M9" s="14" t="n"/>
      <c r="N9" s="14" t="n"/>
      <c r="O9" s="14" t="n"/>
      <c r="P9" s="14" t="n"/>
      <c r="Q9" s="14" t="n"/>
      <c r="R9" s="14" t="n"/>
      <c r="S9" s="14" t="n"/>
      <c r="T9" s="14" t="n"/>
      <c r="U9" s="14" t="n"/>
      <c r="V9" s="14" t="n"/>
      <c r="W9" s="14" t="n"/>
      <c r="X9" s="14" t="n"/>
      <c r="Y9" s="14" t="n"/>
      <c r="Z9" s="14" t="n"/>
      <c r="AA9" s="14" t="n"/>
    </row>
    <row r="10">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c r="AA10" s="14" t="n"/>
    </row>
    <row r="11">
      <c r="A11" s="14" t="n"/>
      <c r="B11" s="14" t="n"/>
      <c r="C11" s="14" t="n"/>
      <c r="D11" s="14" t="n"/>
      <c r="E11" s="14" t="n"/>
      <c r="F11" s="1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c r="AA11" s="14" t="n"/>
    </row>
    <row r="12">
      <c r="A12" s="14" t="n"/>
      <c r="B12" s="14" t="n"/>
      <c r="C12" s="14" t="n"/>
      <c r="D12" s="14" t="n"/>
      <c r="E12" s="14" t="n"/>
      <c r="F12" s="14" t="n"/>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c r="AA12" s="14" t="n"/>
    </row>
    <row r="13">
      <c r="A13" s="14" t="n"/>
      <c r="B13" s="14" t="n"/>
      <c r="C13" s="14" t="n"/>
      <c r="D13" s="14" t="n"/>
      <c r="E13" s="14" t="n"/>
      <c r="F13" s="14"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c r="AA13" s="14" t="n"/>
    </row>
    <row r="14">
      <c r="A14" s="14" t="n"/>
      <c r="B14" s="14" t="n"/>
      <c r="C14" s="14" t="n"/>
      <c r="D14" s="14" t="n"/>
      <c r="E14" s="14" t="n"/>
      <c r="F14" s="14"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c r="AA14" s="14" t="n"/>
    </row>
    <row r="15">
      <c r="A15" s="14" t="n"/>
      <c r="B15" s="14" t="n"/>
      <c r="C15" s="14" t="n"/>
      <c r="D15" s="14" t="n"/>
      <c r="E15" s="14" t="n"/>
      <c r="F15" s="14"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c r="AA15" s="14" t="n"/>
    </row>
    <row r="16">
      <c r="A16" s="14" t="n"/>
      <c r="B16" s="14" t="n"/>
      <c r="C16" s="14" t="n"/>
      <c r="D16" s="14" t="n"/>
      <c r="E16" s="14" t="n"/>
      <c r="F16" s="1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c r="AA16" s="14" t="n"/>
    </row>
    <row r="17">
      <c r="A17" s="14" t="n"/>
      <c r="B17" s="14" t="n"/>
      <c r="C17" s="14" t="n"/>
      <c r="D17" s="14" t="n"/>
      <c r="E17" s="14" t="n"/>
      <c r="F17" s="14"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c r="AA17" s="14" t="n"/>
    </row>
    <row r="18">
      <c r="A18" s="14" t="n"/>
      <c r="B18" s="14" t="n"/>
      <c r="C18" s="14" t="n"/>
      <c r="D18" s="14" t="n"/>
      <c r="E18" s="14" t="n"/>
      <c r="F18" s="14"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c r="AA18" s="14" t="n"/>
    </row>
    <row r="19">
      <c r="A19" s="14" t="n"/>
      <c r="B19" s="14" t="n"/>
      <c r="C19" s="14" t="n"/>
      <c r="D19" s="14" t="n"/>
      <c r="E19" s="14" t="n"/>
      <c r="F19" s="14"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c r="AA19" s="14" t="n"/>
    </row>
    <row r="20">
      <c r="A20" s="14" t="n"/>
      <c r="B20" s="14" t="n"/>
      <c r="C20" s="14" t="n"/>
      <c r="D20" s="14" t="n"/>
      <c r="E20" s="14" t="n"/>
      <c r="F20" s="1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c r="AA20" s="14" t="n"/>
    </row>
    <row r="21">
      <c r="A21" s="14" t="n"/>
      <c r="B21" s="14" t="n"/>
      <c r="C21" s="14" t="n"/>
      <c r="D21" s="14" t="n"/>
      <c r="E21" s="14" t="n"/>
      <c r="F21" s="14" t="n"/>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c r="AA21" s="14" t="n"/>
    </row>
    <row r="22">
      <c r="A22" s="14" t="n"/>
      <c r="B22" s="14" t="n"/>
      <c r="C22" s="14" t="n"/>
      <c r="D22" s="14" t="n"/>
      <c r="E22" s="14" t="n"/>
      <c r="F22" s="14"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c r="AA22" s="14" t="n"/>
    </row>
    <row r="23">
      <c r="A23" s="14" t="n"/>
      <c r="B23" s="14" t="n"/>
      <c r="C23" s="14" t="n"/>
      <c r="D23" s="14" t="n"/>
      <c r="E23" s="14" t="n"/>
      <c r="F23" s="14"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c r="AA23" s="14" t="n"/>
    </row>
    <row r="24">
      <c r="A24" s="14" t="n"/>
      <c r="B24" s="14" t="n"/>
      <c r="C24" s="14" t="n"/>
      <c r="D24" s="14" t="n"/>
      <c r="E24" s="14" t="n"/>
      <c r="F24" s="14"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c r="AA24" s="14" t="n"/>
    </row>
    <row r="25">
      <c r="A25" s="14" t="n"/>
      <c r="B25" s="14" t="n"/>
      <c r="C25" s="14" t="n"/>
      <c r="D25" s="14" t="n"/>
      <c r="E25" s="14" t="n"/>
      <c r="F25" s="1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c r="AA25" s="14" t="n"/>
    </row>
    <row r="26">
      <c r="A26" s="14" t="n"/>
      <c r="B26" s="14" t="n"/>
      <c r="C26" s="14" t="n"/>
      <c r="D26" s="14" t="n"/>
      <c r="E26" s="14" t="n"/>
      <c r="F26" s="14" t="n"/>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c r="AA26" s="14" t="n"/>
    </row>
    <row r="27">
      <c r="A27" s="14" t="n"/>
      <c r="B27" s="14" t="n"/>
      <c r="C27" s="14" t="n"/>
      <c r="D27" s="14" t="n"/>
      <c r="E27" s="14" t="n"/>
      <c r="F27" s="14"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c r="AA27" s="14" t="n"/>
    </row>
    <row r="28">
      <c r="A28" s="14" t="n"/>
      <c r="B28" s="14" t="n"/>
      <c r="C28" s="14" t="n"/>
      <c r="D28" s="14" t="n"/>
      <c r="E28" s="14" t="n"/>
      <c r="F28" s="14"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c r="AA28" s="14" t="n"/>
    </row>
    <row r="29">
      <c r="A29" s="14" t="n"/>
      <c r="B29" s="14" t="n"/>
      <c r="C29" s="14" t="n"/>
      <c r="D29" s="14" t="n"/>
      <c r="E29" s="14" t="n"/>
      <c r="F29" s="14"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row>
    <row r="30">
      <c r="A30" s="14" t="n"/>
      <c r="B30" s="14" t="n"/>
      <c r="C30" s="14" t="n"/>
      <c r="D30" s="14" t="n"/>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row>
    <row r="31">
      <c r="A31" s="14" t="n"/>
      <c r="B31" s="14" t="n"/>
      <c r="C31" s="14" t="n"/>
      <c r="D31" s="14" t="n"/>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row>
    <row r="32">
      <c r="A32" s="14" t="n"/>
      <c r="B32" s="14" t="n"/>
      <c r="C32" s="14" t="n"/>
      <c r="D32" s="14" t="n"/>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row>
    <row r="33">
      <c r="A33" s="14" t="n"/>
      <c r="B33" s="14" t="n"/>
      <c r="C33" s="14" t="n"/>
      <c r="D33" s="14"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row>
    <row r="34">
      <c r="A34" s="14" t="n"/>
      <c r="B34" s="14"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row>
    <row r="35">
      <c r="A35" s="14" t="n"/>
      <c r="B35" s="14" t="n"/>
      <c r="C35" s="14" t="n"/>
      <c r="D35" s="14" t="n"/>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row>
    <row r="36">
      <c r="A36" s="14" t="n"/>
      <c r="B36" s="14" t="n"/>
      <c r="C36" s="14" t="n"/>
      <c r="D36" s="14" t="n"/>
      <c r="E36" s="14" t="n"/>
      <c r="F36" s="14" t="n"/>
      <c r="G36" s="14" t="n"/>
      <c r="H36" s="14" t="n"/>
      <c r="I36" s="14" t="n"/>
      <c r="J36" s="14" t="n"/>
      <c r="K36" s="14" t="n"/>
      <c r="L36" s="14" t="n"/>
      <c r="M36" s="14" t="n"/>
      <c r="N36" s="14" t="n"/>
      <c r="O36" s="14" t="n"/>
      <c r="P36" s="14" t="n"/>
      <c r="Q36" s="14" t="n"/>
      <c r="R36" s="14" t="n"/>
      <c r="S36" s="14" t="n"/>
      <c r="T36" s="14" t="n"/>
      <c r="U36" s="14" t="n"/>
      <c r="V36" s="14" t="n"/>
      <c r="W36" s="14" t="n"/>
      <c r="X36" s="14" t="n"/>
      <c r="Y36" s="14" t="n"/>
      <c r="Z36" s="14" t="n"/>
      <c r="AA36" s="14" t="n"/>
    </row>
    <row r="37">
      <c r="A37" s="14" t="n"/>
      <c r="B37" s="14" t="n"/>
      <c r="C37" s="14" t="n"/>
      <c r="D37" s="14" t="n"/>
      <c r="E37" s="14" t="n"/>
      <c r="F37" s="14" t="n"/>
      <c r="G37" s="14" t="n"/>
      <c r="H37" s="14" t="n"/>
      <c r="I37" s="14" t="n"/>
      <c r="J37" s="14" t="n"/>
      <c r="K37" s="14" t="n"/>
      <c r="L37" s="14" t="n"/>
      <c r="M37" s="14" t="n"/>
      <c r="N37" s="14" t="n"/>
      <c r="O37" s="14" t="n"/>
      <c r="P37" s="14" t="n"/>
      <c r="Q37" s="14" t="n"/>
      <c r="R37" s="14" t="n"/>
      <c r="S37" s="14" t="n"/>
      <c r="T37" s="14" t="n"/>
      <c r="U37" s="14" t="n"/>
      <c r="V37" s="14" t="n"/>
      <c r="W37" s="14" t="n"/>
      <c r="X37" s="14" t="n"/>
      <c r="Y37" s="14" t="n"/>
      <c r="Z37" s="14" t="n"/>
      <c r="AA37" s="14" t="n"/>
    </row>
    <row r="38">
      <c r="A38" s="14" t="n"/>
      <c r="B38" s="14" t="n"/>
      <c r="C38" s="14" t="n"/>
      <c r="D38" s="14" t="n"/>
      <c r="E38" s="14" t="n"/>
      <c r="F38" s="14" t="n"/>
      <c r="G38" s="14" t="n"/>
      <c r="H38" s="14" t="n"/>
      <c r="I38" s="14" t="n"/>
      <c r="J38" s="14" t="n"/>
      <c r="K38" s="14" t="n"/>
      <c r="L38" s="14" t="n"/>
      <c r="M38" s="14" t="n"/>
      <c r="N38" s="14" t="n"/>
      <c r="O38" s="14" t="n"/>
      <c r="P38" s="14" t="n"/>
      <c r="Q38" s="14" t="n"/>
      <c r="R38" s="14" t="n"/>
      <c r="S38" s="14" t="n"/>
      <c r="T38" s="14" t="n"/>
      <c r="U38" s="14" t="n"/>
      <c r="V38" s="14" t="n"/>
      <c r="W38" s="14" t="n"/>
      <c r="X38" s="14" t="n"/>
      <c r="Y38" s="14" t="n"/>
      <c r="Z38" s="14" t="n"/>
      <c r="AA38" s="14" t="n"/>
    </row>
    <row r="39">
      <c r="A39" s="14" t="n"/>
      <c r="B39" s="14" t="n"/>
      <c r="C39" s="14" t="n"/>
      <c r="D39" s="14" t="n"/>
      <c r="E39" s="14" t="n"/>
      <c r="F39" s="14" t="n"/>
      <c r="G39" s="14" t="n"/>
      <c r="H39" s="14" t="n"/>
      <c r="I39" s="14" t="n"/>
      <c r="J39" s="14" t="n"/>
      <c r="K39" s="14" t="n"/>
      <c r="L39" s="14" t="n"/>
      <c r="M39" s="14" t="n"/>
      <c r="N39" s="14" t="n"/>
      <c r="O39" s="14" t="n"/>
      <c r="P39" s="14" t="n"/>
      <c r="Q39" s="14" t="n"/>
      <c r="R39" s="14" t="n"/>
      <c r="S39" s="14" t="n"/>
      <c r="T39" s="14" t="n"/>
      <c r="U39" s="14" t="n"/>
      <c r="V39" s="14" t="n"/>
      <c r="W39" s="14" t="n"/>
      <c r="X39" s="14" t="n"/>
      <c r="Y39" s="14" t="n"/>
      <c r="Z39" s="14" t="n"/>
      <c r="AA39" s="14" t="n"/>
    </row>
    <row r="42">
      <c r="A42" s="5" t="inlineStr">
        <is>
          <t>GATE 1 - RELEVANCE</t>
        </is>
      </c>
    </row>
    <row r="43">
      <c r="A43" s="10" t="inlineStr">
        <is>
          <t>Threshold: &gt;=70% of qualified respondents rate the WINNING proposition 4-5 of 5.</t>
        </is>
      </c>
    </row>
    <row r="45">
      <c r="A45" s="15" t="inlineStr">
        <is>
          <t>Cell</t>
        </is>
      </c>
      <c r="B45" s="15" t="inlineStr">
        <is>
          <t>Lead</t>
        </is>
      </c>
      <c r="C45" s="15" t="inlineStr">
        <is>
          <t>n</t>
        </is>
      </c>
      <c r="D45" s="15" t="inlineStr">
        <is>
          <t>Top-2-box (4-5)</t>
        </is>
      </c>
      <c r="E45" s="15" t="inlineStr">
        <is>
          <t>% top-2-box</t>
        </is>
      </c>
    </row>
    <row r="46">
      <c r="A46" s="16" t="inlineStr">
        <is>
          <t>A</t>
        </is>
      </c>
      <c r="B46" s="17" t="inlineStr">
        <is>
          <t>Creative-learning lead</t>
        </is>
      </c>
      <c r="C46" s="18">
        <f>COUNTIF($P$5:$P$400,"A")</f>
        <v/>
      </c>
      <c r="D46" s="18">
        <f>COUNTIFS($P$5:$P$400,"A",$Q$5:$Q$400,"&gt;=4")</f>
        <v/>
      </c>
      <c r="E46" s="18">
        <f>IFERROR(TEXT(D46/C46,"0%"),"")</f>
        <v/>
      </c>
    </row>
    <row r="47">
      <c r="A47" s="16" t="inlineStr">
        <is>
          <t>B</t>
        </is>
      </c>
      <c r="B47" s="17" t="inlineStr">
        <is>
          <t>Culture lead</t>
        </is>
      </c>
      <c r="C47" s="18">
        <f>COUNTIF($P$5:$P$400,"B")</f>
        <v/>
      </c>
      <c r="D47" s="18">
        <f>COUNTIFS($P$5:$P$400,"B",$Q$5:$Q$400,"&gt;=4")</f>
        <v/>
      </c>
      <c r="E47" s="18">
        <f>IFERROR(TEXT(D47/C47,"0%"),"")</f>
        <v/>
      </c>
    </row>
    <row r="48">
      <c r="A48" s="16" t="inlineStr">
        <is>
          <t>C</t>
        </is>
      </c>
      <c r="B48" s="17" t="inlineStr">
        <is>
          <t>Screen balance</t>
        </is>
      </c>
      <c r="C48" s="18">
        <f>COUNTIF($P$5:$P$400,"C")</f>
        <v/>
      </c>
      <c r="D48" s="18">
        <f>COUNTIFS($P$5:$P$400,"C",$Q$5:$Q$400,"&gt;=4")</f>
        <v/>
      </c>
      <c r="E48" s="18">
        <f>IFERROR(TEXT(D48/C48,"0%"),"")</f>
        <v/>
      </c>
    </row>
    <row r="50" ht="28" customHeight="1">
      <c r="A50" s="2" t="inlineStr">
        <is>
          <t>With n=150 across three cells you have ~50 per cell - enough to see a large difference, not a small one. If the cells land within a few points of each other, the honest finding is 'message did not differentiate', and the decision passes to the paid test.</t>
        </is>
      </c>
    </row>
  </sheetData>
  <mergeCells count="4">
    <mergeCell ref="A43:H43"/>
    <mergeCell ref="A1:J1"/>
    <mergeCell ref="A50:J50"/>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
  <sheetViews>
    <sheetView workbookViewId="0">
      <pane ySplit="4" topLeftCell="A5" activePane="bottomLeft" state="frozen"/>
      <selection pane="bottomLeft" activeCell="A1" sqref="A1"/>
    </sheetView>
  </sheetViews>
  <sheetFormatPr baseColWidth="8" defaultRowHeight="15"/>
  <cols>
    <col width="40" customWidth="1" min="1" max="1"/>
    <col width="10" customWidth="1" min="2" max="2"/>
    <col width="13" customWidth="1" min="3" max="3"/>
    <col width="13" customWidth="1" min="4" max="4"/>
    <col width="13" customWidth="1" min="5" max="5"/>
    <col width="15" customWidth="1" min="6" max="6"/>
    <col width="8" customWidth="1" min="7" max="7"/>
  </cols>
  <sheetData>
    <row r="1" ht="24" customHeight="1">
      <c r="A1" s="1" t="inlineStr">
        <is>
          <t>Forced trade-offs - best/worst scoring</t>
        </is>
      </c>
    </row>
    <row r="2" ht="30" customHeight="1">
      <c r="A2" s="2" t="inlineStr">
        <is>
          <t>Enter the counts from Section B1-B4. Score = (most - least) / times shown, on a -1 to +1 scale. Cross-check the ranking against the Section B5 constant sum.</t>
        </is>
      </c>
    </row>
    <row r="4" ht="34" customHeight="1">
      <c r="A4" s="7" t="inlineStr">
        <is>
          <t>Attribute</t>
        </is>
      </c>
      <c r="B4" s="7" t="inlineStr">
        <is>
          <t>Code</t>
        </is>
      </c>
      <c r="C4" s="7" t="inlineStr">
        <is>
          <t>Times shown</t>
        </is>
      </c>
      <c r="D4" s="7" t="inlineStr">
        <is>
          <t>Chosen MOST</t>
        </is>
      </c>
      <c r="E4" s="7" t="inlineStr">
        <is>
          <t>Chosen LEAST</t>
        </is>
      </c>
      <c r="F4" s="7" t="inlineStr">
        <is>
          <t>Score (-1 to +1)</t>
        </is>
      </c>
      <c r="G4" s="7" t="inlineStr">
        <is>
          <t>Rank</t>
        </is>
      </c>
    </row>
    <row r="5" ht="20" customHeight="1">
      <c r="A5" s="14" t="inlineStr">
        <is>
          <t>It has clear learning value</t>
        </is>
      </c>
      <c r="B5" s="19" t="inlineStr">
        <is>
          <t>LEARN</t>
        </is>
      </c>
      <c r="C5" s="19" t="n">
        <v>3</v>
      </c>
      <c r="D5" s="20" t="n"/>
      <c r="E5" s="20" t="n"/>
      <c r="F5" s="21">
        <f>IFERROR(ROUND((D5-E5)/(C5*$B$16),3),"")</f>
        <v/>
      </c>
      <c r="G5" s="21">
        <f>IFERROR(RANK(F5,$F$5:$F$12),"")</f>
        <v/>
      </c>
    </row>
    <row r="6" ht="20" customHeight="1">
      <c r="A6" s="14" t="inlineStr">
        <is>
          <t>It keeps my child busy without a screen</t>
        </is>
      </c>
      <c r="B6" s="19" t="inlineStr">
        <is>
          <t>SCREEN</t>
        </is>
      </c>
      <c r="C6" s="19" t="n">
        <v>3</v>
      </c>
      <c r="D6" s="20" t="n"/>
      <c r="E6" s="20" t="n"/>
      <c r="F6" s="21">
        <f>IFERROR(ROUND((D6-E6)/(C6*$B$16),3),"")</f>
        <v/>
      </c>
      <c r="G6" s="21">
        <f>IFERROR(RANK(F6,$F$5:$F$12),"")</f>
        <v/>
      </c>
    </row>
    <row r="7" ht="20" customHeight="1">
      <c r="A7" s="14" t="inlineStr">
        <is>
          <t>The content reflects Saudi Arabia</t>
        </is>
      </c>
      <c r="B7" s="19" t="inlineStr">
        <is>
          <t>CULTURE</t>
        </is>
      </c>
      <c r="C7" s="19" t="n">
        <v>2</v>
      </c>
      <c r="D7" s="20" t="n"/>
      <c r="E7" s="20" t="n"/>
      <c r="F7" s="21">
        <f>IFERROR(ROUND((D7-E7)/(C7*$B$16),3),"")</f>
        <v/>
      </c>
      <c r="G7" s="21">
        <f>IFERROR(RANK(F7,$F$5:$F$12),"")</f>
        <v/>
      </c>
    </row>
    <row r="8" ht="20" customHeight="1">
      <c r="A8" s="14" t="inlineStr">
        <is>
          <t>It looks good enough to give as a gift</t>
        </is>
      </c>
      <c r="B8" s="19" t="inlineStr">
        <is>
          <t>GIFT</t>
        </is>
      </c>
      <c r="C8" s="19" t="n">
        <v>3</v>
      </c>
      <c r="D8" s="20" t="n"/>
      <c r="E8" s="20" t="n"/>
      <c r="F8" s="21">
        <f>IFERROR(ROUND((D8-E8)/(C8*$B$16),3),"")</f>
        <v/>
      </c>
      <c r="G8" s="21">
        <f>IFERROR(RANK(F8,$F$5:$F$12),"")</f>
        <v/>
      </c>
    </row>
    <row r="9" ht="20" customHeight="1">
      <c r="A9" s="14" t="inlineStr">
        <is>
          <t>My child can use it without my help</t>
        </is>
      </c>
      <c r="B9" s="19" t="inlineStr">
        <is>
          <t>ALONE</t>
        </is>
      </c>
      <c r="C9" s="19" t="n">
        <v>2</v>
      </c>
      <c r="D9" s="20" t="n"/>
      <c r="E9" s="20" t="n"/>
      <c r="F9" s="21">
        <f>IFERROR(ROUND((D9-E9)/(C9*$B$16),3),"")</f>
        <v/>
      </c>
      <c r="G9" s="21">
        <f>IFERROR(RANK(F9,$F$5:$F$12),"")</f>
        <v/>
      </c>
    </row>
    <row r="10" ht="20" customHeight="1">
      <c r="A10" s="14" t="inlineStr">
        <is>
          <t>The paper and printing feel premium</t>
        </is>
      </c>
      <c r="B10" s="19" t="inlineStr">
        <is>
          <t>QUALITY</t>
        </is>
      </c>
      <c r="C10" s="19" t="n">
        <v>3</v>
      </c>
      <c r="D10" s="20" t="n"/>
      <c r="E10" s="20" t="n"/>
      <c r="F10" s="21">
        <f>IFERROR(ROUND((D10-E10)/(C10*$B$16),3),"")</f>
        <v/>
      </c>
      <c r="G10" s="21">
        <f>IFERROR(RANK(F10,$F$5:$F$12),"")</f>
        <v/>
      </c>
    </row>
    <row r="11" ht="20" customHeight="1">
      <c r="A11" s="14" t="inlineStr">
        <is>
          <t>The Arabic comes first, not as a translation</t>
        </is>
      </c>
      <c r="B11" s="19" t="inlineStr">
        <is>
          <t>ARABIC</t>
        </is>
      </c>
      <c r="C11" s="19" t="n">
        <v>2</v>
      </c>
      <c r="D11" s="20" t="n"/>
      <c r="E11" s="20" t="n"/>
      <c r="F11" s="21">
        <f>IFERROR(ROUND((D11-E11)/(C11*$B$16),3),"")</f>
        <v/>
      </c>
      <c r="G11" s="21">
        <f>IFERROR(RANK(F11,$F$5:$F$12),"")</f>
        <v/>
      </c>
    </row>
    <row r="12" ht="20" customHeight="1">
      <c r="A12" s="14" t="inlineStr">
        <is>
          <t>The price is low</t>
        </is>
      </c>
      <c r="B12" s="19" t="inlineStr">
        <is>
          <t>PRICE</t>
        </is>
      </c>
      <c r="C12" s="19" t="n">
        <v>3</v>
      </c>
      <c r="D12" s="20" t="n"/>
      <c r="E12" s="20" t="n"/>
      <c r="F12" s="21">
        <f>IFERROR(ROUND((D12-E12)/(C12*$B$16),3),"")</f>
        <v/>
      </c>
      <c r="G12" s="21">
        <f>IFERROR(RANK(F12,$F$5:$F$12),"")</f>
        <v/>
      </c>
    </row>
    <row r="16">
      <c r="A16" s="5" t="inlineStr">
        <is>
          <t>Respondents who completed Section B (enter):</t>
        </is>
      </c>
      <c r="B16" s="22" t="n">
        <v>150</v>
      </c>
    </row>
    <row r="18" ht="28" customHeight="1">
      <c r="A18" s="2" t="inlineStr">
        <is>
          <t>PRICE is in the pool as the calibration anchor. If 'the price is low' outranks LEARN and SCREEN, you do not have a premium proposition, and no amount of message testing will create one - that is a product and positioning finding, not a copy problem.</t>
        </is>
      </c>
    </row>
  </sheetData>
  <mergeCells count="4">
    <mergeCell ref="A18:H18"/>
    <mergeCell ref="A16"/>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0"/>
  <sheetViews>
    <sheetView workbookViewId="0">
      <pane ySplit="24" topLeftCell="A25" activePane="bottomLeft" state="frozen"/>
      <selection pane="bottomLeft" activeCell="A1" sqref="A1"/>
    </sheetView>
  </sheetViews>
  <sheetFormatPr baseColWidth="8" defaultRowHeight="15"/>
  <cols>
    <col width="13" customWidth="1" min="1" max="1"/>
    <col width="16" customWidth="1" min="2" max="2"/>
    <col width="15" customWidth="1" min="3" max="3"/>
    <col width="12" customWidth="1" min="4" max="4"/>
    <col width="11" customWidth="1" min="5" max="5"/>
    <col width="18" customWidth="1" min="6" max="6"/>
    <col width="20" customWidth="1" min="7" max="7"/>
    <col width="24" customWidth="1" min="8" max="8"/>
    <col width="14" customWidth="1" min="9" max="9"/>
  </cols>
  <sheetData>
    <row r="1" ht="24" customHeight="1">
      <c r="A1" s="1" t="inlineStr">
        <is>
          <t>Paid intent test - and the derived Gate 4 threshold</t>
        </is>
      </c>
    </row>
    <row r="2" ht="30" customHeight="1">
      <c r="A2" s="2" t="inlineStr">
        <is>
          <t>The brief sets no paid-intent number on purpose: derive it from unit economics and traffic quality. Do that here, and do it BEFORE the test finishes.</t>
        </is>
      </c>
    </row>
    <row r="4">
      <c r="A4" s="5" t="inlineStr">
        <is>
          <t>STEP 1 - DERIVE THE THRESHOLD</t>
        </is>
      </c>
    </row>
    <row r="5">
      <c r="A5" s="10" t="inlineStr">
        <is>
          <t>Max allowable CAC at target contribution (SAR)</t>
        </is>
      </c>
      <c r="E5" s="22" t="n">
        <v>10.01</v>
      </c>
      <c r="F5" s="23" t="inlineStr">
        <is>
          <t>COPY IT from 03-economics/unit-economics.xlsx, tab Break-even - do not leave this placeholder. Seeded here with the core pad at SAR 49.</t>
        </is>
      </c>
    </row>
    <row r="6">
      <c r="A6" s="10" t="inlineStr">
        <is>
          <t>Observed cost per qualified click (SAR)</t>
        </is>
      </c>
      <c r="E6" s="22" t="n">
        <v>1.6</v>
      </c>
      <c r="F6" s="23" t="inlineStr">
        <is>
          <t>Measure it in the first 48 hours; do not assume it</t>
        </is>
      </c>
    </row>
    <row r="8">
      <c r="A8" s="5" t="inlineStr">
        <is>
          <t>GATE 4 THRESHOLD: required conversion rate = CPC / max CAC</t>
        </is>
      </c>
      <c r="E8" s="24">
        <f>IFERROR(TEXT(E6/E5,"0.00%"),"")</f>
        <v/>
      </c>
    </row>
    <row r="9" ht="30" customHeight="1">
      <c r="A9" s="23" t="inlineStr">
        <is>
          <t>Must be met in BOTH city audiences, on a minimum of 200 qualified clicks per cell. Below ~200 you cannot distinguish a real difference from noise, and a gate you cannot measure is not a gate.</t>
        </is>
      </c>
    </row>
    <row r="11">
      <c r="A11" s="5" t="inlineStr">
        <is>
          <t>STEP 2 - RESULTS BY CELL AND CITY</t>
        </is>
      </c>
    </row>
    <row r="12" ht="34" customHeight="1">
      <c r="A12" s="7" t="inlineStr">
        <is>
          <t>Cell</t>
        </is>
      </c>
      <c r="B12" s="7" t="inlineStr">
        <is>
          <t>Message lead</t>
        </is>
      </c>
      <c r="C12" s="7" t="inlineStr">
        <is>
          <t>City</t>
        </is>
      </c>
      <c r="D12" s="7" t="inlineStr">
        <is>
          <t>Spend SAR</t>
        </is>
      </c>
      <c r="E12" s="7" t="inlineStr">
        <is>
          <t>Qualified clicks</t>
        </is>
      </c>
      <c r="F12" s="7" t="inlineStr">
        <is>
          <t>Preorders / leads</t>
        </is>
      </c>
      <c r="G12" s="7" t="inlineStr">
        <is>
          <t>CVR</t>
        </is>
      </c>
      <c r="H12" s="7" t="inlineStr">
        <is>
          <t>CAC SAR</t>
        </is>
      </c>
      <c r="I12" s="7" t="inlineStr">
        <is>
          <t>Passes gate?</t>
        </is>
      </c>
    </row>
    <row r="13">
      <c r="A13" s="19" t="inlineStr">
        <is>
          <t>A</t>
        </is>
      </c>
      <c r="B13" s="25" t="inlineStr">
        <is>
          <t>Creative time that teaches</t>
        </is>
      </c>
      <c r="C13" s="26" t="inlineStr">
        <is>
          <t>Riyadh</t>
        </is>
      </c>
      <c r="D13" s="27" t="n"/>
      <c r="E13" s="27" t="n"/>
      <c r="F13" s="27" t="n"/>
      <c r="G13" s="19">
        <f>IFERROR(TEXT(F13/E13,"0.00%"),"")</f>
        <v/>
      </c>
      <c r="H13" s="19">
        <f>IFERROR(ROUND(D13/F13,2),"")</f>
        <v/>
      </c>
      <c r="I13" s="19">
        <f>IF(OR(E13="",F13=""),"",IF(AND(E13&gt;=200,F13/E13&gt;=$E$6/$E$5),"PASS","FAIL"))</f>
        <v/>
      </c>
    </row>
    <row r="14">
      <c r="A14" s="19" t="inlineStr">
        <is>
          <t>A</t>
        </is>
      </c>
      <c r="B14" s="25" t="inlineStr">
        <is>
          <t>Creative time that teaches</t>
        </is>
      </c>
      <c r="C14" s="26" t="inlineStr">
        <is>
          <t>Jeddah</t>
        </is>
      </c>
      <c r="D14" s="27" t="n"/>
      <c r="E14" s="27" t="n"/>
      <c r="F14" s="27" t="n"/>
      <c r="G14" s="19">
        <f>IFERROR(TEXT(F14/E14,"0.00%"),"")</f>
        <v/>
      </c>
      <c r="H14" s="19">
        <f>IFERROR(ROUND(D14/F14,2),"")</f>
        <v/>
      </c>
      <c r="I14" s="19">
        <f>IF(OR(E14="",F14=""),"",IF(AND(E14&gt;=200,F14/E14&gt;=$E$6/$E$5),"PASS","FAIL"))</f>
        <v/>
      </c>
    </row>
    <row r="15">
      <c r="A15" s="19" t="inlineStr">
        <is>
          <t>B</t>
        </is>
      </c>
      <c r="B15" s="25" t="inlineStr">
        <is>
          <t>Discover Saudi Arabia</t>
        </is>
      </c>
      <c r="C15" s="26" t="inlineStr">
        <is>
          <t>Riyadh</t>
        </is>
      </c>
      <c r="D15" s="27" t="n"/>
      <c r="E15" s="27" t="n"/>
      <c r="F15" s="27" t="n"/>
      <c r="G15" s="19">
        <f>IFERROR(TEXT(F15/E15,"0.00%"),"")</f>
        <v/>
      </c>
      <c r="H15" s="19">
        <f>IFERROR(ROUND(D15/F15,2),"")</f>
        <v/>
      </c>
      <c r="I15" s="19">
        <f>IF(OR(E15="",F15=""),"",IF(AND(E15&gt;=200,F15/E15&gt;=$E$6/$E$5),"PASS","FAIL"))</f>
        <v/>
      </c>
    </row>
    <row r="16">
      <c r="A16" s="19" t="inlineStr">
        <is>
          <t>B</t>
        </is>
      </c>
      <c r="B16" s="25" t="inlineStr">
        <is>
          <t>Discover Saudi Arabia</t>
        </is>
      </c>
      <c r="C16" s="26" t="inlineStr">
        <is>
          <t>Jeddah</t>
        </is>
      </c>
      <c r="D16" s="27" t="n"/>
      <c r="E16" s="27" t="n"/>
      <c r="F16" s="27" t="n"/>
      <c r="G16" s="19">
        <f>IFERROR(TEXT(F16/E16,"0.00%"),"")</f>
        <v/>
      </c>
      <c r="H16" s="19">
        <f>IFERROR(ROUND(D16/F16,2),"")</f>
        <v/>
      </c>
      <c r="I16" s="19">
        <f>IF(OR(E16="",F16=""),"",IF(AND(E16&gt;=200,F16/E16&gt;=$E$6/$E$5),"PASS","FAIL"))</f>
        <v/>
      </c>
    </row>
    <row r="18">
      <c r="A18" s="5" t="inlineStr">
        <is>
          <t>GATE 4 VERDICT</t>
        </is>
      </c>
      <c r="E18" s="24">
        <f>IF(COUNTIF(I13:I16,"PASS")=0,"",IF(COUNTIF(I13:I16,"FAIL")&gt;0,"NOT PASSED IN ALL CELLS","PASSED"))</f>
        <v/>
      </c>
      <c r="F18" s="12" t="n"/>
      <c r="G18" s="12" t="n"/>
      <c r="H18" s="12" t="n"/>
      <c r="I18" s="13" t="n"/>
    </row>
    <row r="20" ht="28" customHeight="1">
      <c r="A20" s="2" t="inlineStr">
        <is>
          <t>One city passing is a niche, not a launch: narrow the segment or cut the print quantity rather than averaging the two together. If neither message clearly wins, do NOT declare cell A the winner by default - it means the message is not the lever, and the spend should move to proof and price.</t>
        </is>
      </c>
    </row>
    <row r="23">
      <c r="A23" s="5" t="inlineStr">
        <is>
          <t>STEP 3 - PRICE CELL, INSIDE THE WINNING MESSAGE</t>
        </is>
      </c>
    </row>
    <row r="24" ht="34" customHeight="1">
      <c r="A24" s="7" t="inlineStr">
        <is>
          <t>Price point</t>
        </is>
      </c>
      <c r="B24" s="7" t="inlineStr">
        <is>
          <t>Offer</t>
        </is>
      </c>
      <c r="C24" s="7" t="inlineStr">
        <is>
          <t>Qualified clicks</t>
        </is>
      </c>
      <c r="D24" s="7" t="inlineStr">
        <is>
          <t>Preorders</t>
        </is>
      </c>
      <c r="E24" s="7" t="inlineStr">
        <is>
          <t>CVR</t>
        </is>
      </c>
      <c r="F24" s="7" t="inlineStr">
        <is>
          <t>Net revenue/order SAR</t>
        </is>
      </c>
      <c r="G24" s="7" t="inlineStr">
        <is>
          <t>Contribution/order SAR</t>
        </is>
      </c>
      <c r="H24" s="7" t="inlineStr">
        <is>
          <t>Contribution per visitor SAR</t>
        </is>
      </c>
    </row>
    <row r="25">
      <c r="A25" s="19" t="inlineStr">
        <is>
          <t>SAR 39</t>
        </is>
      </c>
      <c r="B25" s="25" t="inlineStr">
        <is>
          <t>Core pad</t>
        </is>
      </c>
      <c r="C25" s="27" t="n"/>
      <c r="D25" s="27" t="n"/>
      <c r="E25" s="19">
        <f>IFERROR(TEXT(D25/C25,"0.00%"),"")</f>
        <v/>
      </c>
      <c r="F25" s="27" t="n"/>
      <c r="G25" s="27" t="n"/>
      <c r="H25" s="19">
        <f>IFERROR(ROUND(G25*D25/C25,2),"")</f>
        <v/>
      </c>
    </row>
    <row r="26">
      <c r="A26" s="19" t="inlineStr">
        <is>
          <t>SAR 49</t>
        </is>
      </c>
      <c r="B26" s="25" t="inlineStr">
        <is>
          <t>Core pad</t>
        </is>
      </c>
      <c r="C26" s="27" t="n"/>
      <c r="D26" s="27" t="n"/>
      <c r="E26" s="19">
        <f>IFERROR(TEXT(D26/C26,"0.00%"),"")</f>
        <v/>
      </c>
      <c r="F26" s="27" t="n"/>
      <c r="G26" s="27" t="n"/>
      <c r="H26" s="19">
        <f>IFERROR(ROUND(G26*D26/C26,2),"")</f>
        <v/>
      </c>
    </row>
    <row r="27">
      <c r="A27" s="19" t="inlineStr">
        <is>
          <t>SAR 79</t>
        </is>
      </c>
      <c r="B27" s="25" t="inlineStr">
        <is>
          <t>Gift bundle</t>
        </is>
      </c>
      <c r="C27" s="27" t="n"/>
      <c r="D27" s="27" t="n"/>
      <c r="E27" s="19">
        <f>IFERROR(TEXT(D27/C27,"0.00%"),"")</f>
        <v/>
      </c>
      <c r="F27" s="27" t="n"/>
      <c r="G27" s="27" t="n"/>
      <c r="H27" s="19">
        <f>IFERROR(ROUND(G27*D27/C27,2),"")</f>
        <v/>
      </c>
    </row>
    <row r="28">
      <c r="A28" s="19" t="inlineStr">
        <is>
          <t>SAR 89</t>
        </is>
      </c>
      <c r="B28" s="25" t="inlineStr">
        <is>
          <t>Gift bundle</t>
        </is>
      </c>
      <c r="C28" s="27" t="n"/>
      <c r="D28" s="27" t="n"/>
      <c r="E28" s="19">
        <f>IFERROR(TEXT(D28/C28,"0.00%"),"")</f>
        <v/>
      </c>
      <c r="F28" s="27" t="n"/>
      <c r="G28" s="27" t="n"/>
      <c r="H28" s="19">
        <f>IFERROR(ROUND(G28*D28/C28,2),"")</f>
        <v/>
      </c>
    </row>
    <row r="30" ht="28" customHeight="1">
      <c r="A30" s="2" t="inlineStr">
        <is>
          <t>THE PRICE DECISION RULE: the winner is the highest contribution per qualified visitor in column H - not the highest conversion rate, and not the price parents said they preferred. A higher price is acceptable only when the extra unit margin more than offsets the conversion loss and the return/refund risk.</t>
        </is>
      </c>
    </row>
  </sheetData>
  <mergeCells count="11">
    <mergeCell ref="A5:D5"/>
    <mergeCell ref="A30:H30"/>
    <mergeCell ref="A2:I2"/>
    <mergeCell ref="A8:D8"/>
    <mergeCell ref="A6:D6"/>
    <mergeCell ref="A1:I1"/>
    <mergeCell ref="A9:I9"/>
    <mergeCell ref="F5:I5"/>
    <mergeCell ref="E18:I18"/>
    <mergeCell ref="A20:I20"/>
    <mergeCell ref="F6:I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pane ySplit="4" topLeftCell="A5" activePane="bottomLeft" state="frozen"/>
      <selection pane="bottomLeft" activeCell="A1" sqref="A1"/>
    </sheetView>
  </sheetViews>
  <sheetFormatPr baseColWidth="8" defaultRowHeight="15"/>
  <cols>
    <col width="4" customWidth="1" min="1" max="1"/>
    <col width="20" customWidth="1" min="2" max="2"/>
    <col width="44" customWidth="1" min="3" max="3"/>
    <col width="16" customWidth="1" min="4" max="4"/>
    <col width="12" customWidth="1" min="5" max="5"/>
    <col width="52" customWidth="1" min="6" max="6"/>
  </cols>
  <sheetData>
    <row r="1" ht="24" customHeight="1">
      <c r="A1" s="1" t="inlineStr">
        <is>
          <t>Gate review - 30 September 2026</t>
        </is>
      </c>
    </row>
    <row r="2" ht="30" customHeight="1">
      <c r="A2" s="2" t="inlineStr">
        <is>
          <t>Fill in every observed value BEFORE the meeting discusses what to do about them. All six gates must pass before the full print order is placed.</t>
        </is>
      </c>
    </row>
    <row r="4" ht="34" customHeight="1">
      <c r="A4" s="7" t="inlineStr">
        <is>
          <t>#</t>
        </is>
      </c>
      <c r="B4" s="7" t="inlineStr">
        <is>
          <t>Gate</t>
        </is>
      </c>
      <c r="C4" s="7" t="inlineStr">
        <is>
          <t>Threshold</t>
        </is>
      </c>
      <c r="D4" s="7" t="inlineStr">
        <is>
          <t>Observed</t>
        </is>
      </c>
      <c r="E4" s="7" t="inlineStr">
        <is>
          <t>Pass?</t>
        </is>
      </c>
      <c r="F4" s="7" t="inlineStr">
        <is>
          <t>If it fails</t>
        </is>
      </c>
    </row>
    <row r="5" ht="44" customHeight="1">
      <c r="A5" s="28" t="inlineStr">
        <is>
          <t>1</t>
        </is>
      </c>
      <c r="B5" s="29" t="inlineStr">
        <is>
          <t>Relevance</t>
        </is>
      </c>
      <c r="C5" s="25" t="inlineStr">
        <is>
          <t>&gt;=70% of qualified respondents rate the winning proposition 4-5/5</t>
        </is>
      </c>
      <c r="D5" s="30" t="n"/>
      <c r="E5" s="30" t="n"/>
      <c r="F5" s="31" t="inlineStr">
        <is>
          <t>Revise the proposition. Do not buy more traffic against a message parents rated 3.</t>
        </is>
      </c>
    </row>
    <row r="6" ht="44" customHeight="1">
      <c r="A6" s="28" t="inlineStr">
        <is>
          <t>2</t>
        </is>
      </c>
      <c r="B6" s="29" t="inlineStr">
        <is>
          <t>Child engagement</t>
        </is>
      </c>
      <c r="C6" s="25" t="inlineStr">
        <is>
          <t>Most play-test children complete 15 min without repeated adult rescue</t>
        </is>
      </c>
      <c r="D6" s="30" t="n"/>
      <c r="E6" s="30" t="n"/>
      <c r="F6" s="31" t="inlineStr">
        <is>
          <t>Simplify line art, prompt language or difficulty cues. Re-test with 5 children.</t>
        </is>
      </c>
    </row>
    <row r="7" ht="44" customHeight="1">
      <c r="A7" s="28" t="inlineStr">
        <is>
          <t>3</t>
        </is>
      </c>
      <c r="B7" s="29" t="inlineStr">
        <is>
          <t>Cultural trust</t>
        </is>
      </c>
      <c r="C7" s="25" t="inlineStr">
        <is>
          <t>No recurring accuracy or representation concern after independent review</t>
        </is>
      </c>
      <c r="D7" s="30" t="n"/>
      <c r="E7" s="30" t="n"/>
      <c r="F7" s="31" t="inlineStr">
        <is>
          <t>Correct the content and re-proof. A recurring concern is a content defect.</t>
        </is>
      </c>
    </row>
    <row r="8" ht="44" customHeight="1">
      <c r="A8" s="28" t="inlineStr">
        <is>
          <t>4</t>
        </is>
      </c>
      <c r="B8" s="29" t="inlineStr">
        <is>
          <t>Paid intent</t>
        </is>
      </c>
      <c r="C8" s="25" t="inlineStr">
        <is>
          <t>Derived CVR threshold met in BOTH city audiences</t>
        </is>
      </c>
      <c r="D8" s="30" t="n"/>
      <c r="E8" s="30" t="n"/>
      <c r="F8" s="31" t="inlineStr">
        <is>
          <t>Narrow the segment or cut the print quantity. One city is a niche, not a launch.</t>
        </is>
      </c>
    </row>
    <row r="9" ht="44" customHeight="1">
      <c r="A9" s="28" t="inlineStr">
        <is>
          <t>5</t>
        </is>
      </c>
      <c r="B9" s="29" t="inlineStr">
        <is>
          <t>Economics</t>
        </is>
      </c>
      <c r="C9" s="25" t="inlineStr">
        <is>
          <t>Positive contribution after COGS, packaging, payment, shipping, returns and CAC</t>
        </is>
      </c>
      <c r="D9" s="30" t="n"/>
      <c r="E9" s="30" t="n"/>
      <c r="F9" s="31" t="inlineStr">
        <is>
          <t>Raise basket value, reduce COGS, or STOP. Volume multiplies a negative number.</t>
        </is>
      </c>
    </row>
    <row r="10" ht="44" customHeight="1">
      <c r="A10" s="28" t="inlineStr">
        <is>
          <t>6</t>
        </is>
      </c>
      <c r="B10" s="29" t="inlineStr">
        <is>
          <t>Operations</t>
        </is>
      </c>
      <c r="C10" s="25" t="inlineStr">
        <is>
          <t>Print sample, packing, delivery and support pass a 20-order dry run</t>
        </is>
      </c>
      <c r="D10" s="30" t="n"/>
      <c r="E10" s="30" t="n"/>
      <c r="F10" s="31" t="inlineStr">
        <is>
          <t>Delay the launch. Do not damage the first reviews - they are irreplaceable.</t>
        </is>
      </c>
    </row>
    <row r="12" ht="28" customHeight="1">
      <c r="A12" s="5" t="inlineStr">
        <is>
          <t>DECISION</t>
        </is>
      </c>
      <c r="C12" s="32">
        <f>IF(COUNTA(E5:E10)&lt;6,"Not all gates scored",IF(COUNTIF(E5:E10,"FAIL")=0,"FUND THE PRINT PROOF AND PILOT RUN","DO NOT PRINT - "&amp;COUNTIF(E5:E10,"FAIL")&amp;" gate(s) failed"))</f>
        <v/>
      </c>
      <c r="D12" s="12" t="n"/>
      <c r="E12" s="12" t="n"/>
      <c r="F12" s="13" t="n"/>
    </row>
    <row r="14" ht="28" customHeight="1">
      <c r="A14" s="2" t="inlineStr">
        <is>
          <t>THE STOP RULE: if Gate 5 fails at BOTH SAR 39 and SAR 49, with the bundle, stop. That is the one gate no copy, photography or message can fix, because it is arithmetic. Stopping at the end of September costs roughly SAR 10,500 of the SAR 22,000 and leaves you a language bank, a tested prototype, a cultural review and a working store. Printing into a failed gate costs the full budget and leaves you inventory.</t>
        </is>
      </c>
    </row>
    <row r="17">
      <c r="A17" s="5" t="inlineStr">
        <is>
          <t>Sign-off</t>
        </is>
      </c>
    </row>
    <row r="18">
      <c r="A18" s="10" t="inlineStr">
        <is>
          <t>Founder</t>
        </is>
      </c>
      <c r="C18" s="27" t="inlineStr"/>
      <c r="D18" s="20" t="n"/>
    </row>
    <row r="19">
      <c r="A19" s="10" t="inlineStr">
        <is>
          <t>Cultural / editorial reviewer (Gate 3)</t>
        </is>
      </c>
      <c r="C19" s="27" t="inlineStr"/>
      <c r="D19" s="20" t="n"/>
    </row>
    <row r="20">
      <c r="A20" s="10" t="inlineStr">
        <is>
          <t>Person arguing the other side</t>
        </is>
      </c>
      <c r="C20" s="27" t="inlineStr"/>
      <c r="D20" s="20" t="n"/>
    </row>
    <row r="21">
      <c r="A21" s="23" t="inlineStr">
        <is>
          <t>If nobody in the room is arguing against the print order, the review has not happened yet.</t>
        </is>
      </c>
    </row>
  </sheetData>
  <mergeCells count="8">
    <mergeCell ref="A2:F2"/>
    <mergeCell ref="A20:B20"/>
    <mergeCell ref="A14:F14"/>
    <mergeCell ref="A19:B19"/>
    <mergeCell ref="A1:F1"/>
    <mergeCell ref="C12:F12"/>
    <mergeCell ref="A18:B18"/>
    <mergeCell ref="A21:F21"/>
  </mergeCells>
  <dataValidations count="1">
    <dataValidation sqref="E5:E10" showDropDown="0" showInputMessage="0" showErrorMessage="0" allowBlank="1" type="list">
      <formula1>"PASS,FAIL"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2026-09-04T13:27:20Z</dcterms:created>
  <dcterms:modified xsi:type="dcterms:W3CDTF">2026-09-04T13:27:20Z</dcterms:modified>
</cp:coreProperties>
</file>