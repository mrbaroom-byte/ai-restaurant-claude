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s" sheetId="1" state="visible" r:id="rId1"/>
    <sheet name="Attach" sheetId="2" state="visible" r:id="rId2"/>
    <sheet name="Cohort" sheetId="3" state="visible" r:id="rId3"/>
    <sheet name="Repeat Sensitivity" sheetId="4" state="visible" r:id="rId4"/>
    <sheet name="Sequencing"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Calibri"/>
      <b val="1"/>
      <color rgb="001F3A2E"/>
      <sz val="15"/>
    </font>
    <font>
      <name val="Calibri"/>
      <i val="1"/>
      <color rgb="00667269"/>
      <sz val="9"/>
    </font>
    <font>
      <name val="Calibri"/>
      <b val="1"/>
      <color rgb="00FFFFFF"/>
      <sz val="12"/>
    </font>
    <font>
      <name val="Calibri"/>
      <sz val="10"/>
    </font>
    <font>
      <name val="Calibri"/>
      <b val="1"/>
      <color rgb="00C8763C"/>
      <sz val="12"/>
    </font>
    <font>
      <name val="Calibri"/>
      <b val="1"/>
      <i val="1"/>
      <color rgb="009B2C2C"/>
      <sz val="9"/>
    </font>
    <font>
      <name val="Calibri"/>
      <b val="1"/>
      <color rgb="00C8763C"/>
      <sz val="10"/>
    </font>
    <font>
      <name val="Calibri"/>
      <b val="1"/>
      <color rgb="001F3A2E"/>
      <sz val="11"/>
    </font>
    <font>
      <name val="Calibri"/>
      <b val="1"/>
      <sz val="10"/>
    </font>
    <font>
      <name val="Calibri"/>
      <color rgb="00667269"/>
      <sz val="9"/>
    </font>
    <font>
      <name val="Calibri"/>
      <b val="1"/>
      <color rgb="00C8763C"/>
      <sz val="9"/>
    </font>
  </fonts>
  <fills count="5">
    <fill>
      <patternFill/>
    </fill>
    <fill>
      <patternFill patternType="gray125"/>
    </fill>
    <fill>
      <patternFill patternType="solid">
        <fgColor rgb="001F3A2E"/>
      </patternFill>
    </fill>
    <fill>
      <patternFill patternType="solid">
        <fgColor rgb="00F2EDE4"/>
      </patternFill>
    </fill>
    <fill>
      <patternFill patternType="solid">
        <fgColor rgb="00FFF8E1"/>
      </patternFill>
    </fill>
  </fills>
  <borders count="2">
    <border>
      <left/>
      <right/>
      <top/>
      <bottom/>
      <diagonal/>
    </border>
    <border>
      <left style="thin">
        <color rgb="00D4CFC4"/>
      </left>
      <right style="thin">
        <color rgb="00D4CFC4"/>
      </right>
      <top style="thin">
        <color rgb="00D4CFC4"/>
      </top>
      <bottom style="thin">
        <color rgb="00D4CFC4"/>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pivotButton="0" quotePrefix="0" xfId="0"/>
    <xf numFmtId="4" fontId="4" fillId="0" borderId="1" applyAlignment="1" pivotButton="0" quotePrefix="0" xfId="0">
      <alignment horizontal="right" vertical="center"/>
    </xf>
    <xf numFmtId="4" fontId="5" fillId="3" borderId="1" applyAlignment="1" pivotButton="0" quotePrefix="0" xfId="0">
      <alignment horizontal="right" vertical="center"/>
    </xf>
    <xf numFmtId="0" fontId="2" fillId="0" borderId="1" applyAlignment="1" pivotButton="0" quotePrefix="0" xfId="0">
      <alignment vertical="top" wrapText="1"/>
    </xf>
    <xf numFmtId="0" fontId="6" fillId="0" borderId="0" applyAlignment="1" pivotButton="0" quotePrefix="0" xfId="0">
      <alignment vertical="top" wrapText="1"/>
    </xf>
    <xf numFmtId="0" fontId="4" fillId="0" borderId="1" applyAlignment="1" pivotButton="0" quotePrefix="0" xfId="0">
      <alignment vertical="top" wrapText="1"/>
    </xf>
    <xf numFmtId="4" fontId="0" fillId="0" borderId="1" applyAlignment="1" pivotButton="0" quotePrefix="0" xfId="0">
      <alignment horizontal="right" vertical="center"/>
    </xf>
    <xf numFmtId="0" fontId="0" fillId="0" borderId="1" applyAlignment="1" pivotButton="0" quotePrefix="0" xfId="0">
      <alignment horizontal="right" vertical="center"/>
    </xf>
    <xf numFmtId="0" fontId="7" fillId="0" borderId="1" applyAlignment="1" pivotButton="0" quotePrefix="0" xfId="0">
      <alignment vertical="top" wrapText="1"/>
    </xf>
    <xf numFmtId="0" fontId="8" fillId="0" borderId="0" pivotButton="0" quotePrefix="0" xfId="0"/>
    <xf numFmtId="0" fontId="4" fillId="0" borderId="0" pivotButton="0" quotePrefix="0" xfId="0"/>
    <xf numFmtId="4" fontId="9" fillId="4" borderId="1" applyAlignment="1" pivotButton="0" quotePrefix="0" xfId="0">
      <alignment horizontal="center" vertical="center" wrapText="1"/>
    </xf>
    <xf numFmtId="0" fontId="2" fillId="0" borderId="0" pivotButton="0" quotePrefix="0" xfId="0"/>
    <xf numFmtId="164" fontId="9" fillId="4" borderId="1" applyAlignment="1" pivotButton="0" quotePrefix="0" xfId="0">
      <alignment horizontal="center" vertical="center" wrapText="1"/>
    </xf>
    <xf numFmtId="3" fontId="0" fillId="0" borderId="1" applyAlignment="1" pivotButton="0" quotePrefix="0" xfId="0">
      <alignment horizontal="right" vertical="center"/>
    </xf>
    <xf numFmtId="164" fontId="0" fillId="0" borderId="1" applyAlignment="1" pivotButton="0" quotePrefix="0" xfId="0">
      <alignment horizontal="center" vertical="center" wrapText="1"/>
    </xf>
    <xf numFmtId="4" fontId="5" fillId="0" borderId="1" applyAlignment="1" pivotButton="0" quotePrefix="0" xfId="0">
      <alignment horizontal="right" vertical="center"/>
    </xf>
    <xf numFmtId="0" fontId="10" fillId="0" borderId="1" applyAlignment="1" pivotButton="0" quotePrefix="0" xfId="0">
      <alignment vertical="top" wrapText="1"/>
    </xf>
    <xf numFmtId="0" fontId="11" fillId="0" borderId="1" applyAlignment="1" pivotButton="0" quotePrefix="0" xfId="0">
      <alignment vertical="top" wrapText="1"/>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22" customWidth="1" min="1" max="1"/>
    <col width="13" customWidth="1" min="2" max="2"/>
    <col width="13" customWidth="1" min="3" max="3"/>
    <col width="11" customWidth="1" min="4" max="4"/>
    <col width="15" customWidth="1" min="5" max="5"/>
    <col width="12" customWidth="1" min="6" max="6"/>
    <col width="10" customWidth="1" min="7" max="7"/>
    <col width="15" customWidth="1" min="8" max="8"/>
    <col width="52" customWidth="1" min="9" max="9"/>
  </cols>
  <sheetData>
    <row r="1">
      <c r="A1" s="1" t="inlineStr">
        <is>
          <t>The range — contribution by SKU</t>
        </is>
      </c>
    </row>
    <row r="2" ht="30" customHeight="1">
      <c r="A2" s="2" t="inlineStr">
        <is>
          <t>VAT-inclusive prices. Costs are PLACEHOLDERS pending quotes; the flagship figures match 03-economics. 'Attach' SKUs ride an existing parcel, which is why their thin margin still beats a price rise.</t>
        </is>
      </c>
    </row>
    <row r="4" ht="30" customHeight="1">
      <c r="A4" s="3" t="inlineStr">
        <is>
          <t>SKU</t>
        </is>
      </c>
      <c r="B4" s="3" t="inlineStr">
        <is>
          <t>Price inc VAT</t>
        </is>
      </c>
      <c r="C4" s="3" t="inlineStr">
        <is>
          <t>Net revenue</t>
        </is>
      </c>
      <c r="D4" s="3" t="inlineStr">
        <is>
          <t>Unit cost</t>
        </is>
      </c>
      <c r="E4" s="3" t="inlineStr">
        <is>
          <t>Shipping subsidy</t>
        </is>
      </c>
      <c r="F4" s="3" t="inlineStr">
        <is>
          <t>Payment fee</t>
        </is>
      </c>
      <c r="G4" s="3" t="inlineStr">
        <is>
          <t>Returns</t>
        </is>
      </c>
      <c r="H4" s="3" t="inlineStr">
        <is>
          <t>CONTRIBUTION</t>
        </is>
      </c>
      <c r="I4" s="3" t="inlineStr">
        <is>
          <t>Role</t>
        </is>
      </c>
    </row>
    <row r="5" ht="24" customHeight="1">
      <c r="A5" s="4" t="inlineStr">
        <is>
          <t>Sticker sheets</t>
        </is>
      </c>
      <c r="B5" s="5" t="n">
        <v>17</v>
      </c>
      <c r="C5" s="5">
        <f>B5/1.15</f>
        <v/>
      </c>
      <c r="D5" s="5" t="n">
        <v>3</v>
      </c>
      <c r="E5" s="5" t="n">
        <v>0</v>
      </c>
      <c r="F5" s="5">
        <f>IF(E5=0,0,B5*0.025+1)</f>
        <v/>
      </c>
      <c r="G5" s="5">
        <f>0.04*(D5+IF(E5=0,0,22))</f>
        <v/>
      </c>
      <c r="H5" s="6">
        <f>C5-D5-E5-F5-G5</f>
        <v/>
      </c>
      <c r="I5" s="7" t="inlineStr">
        <is>
          <t>Attach only. No extra shipping, artwork already paid for.</t>
        </is>
      </c>
    </row>
    <row r="6" ht="24" customHeight="1">
      <c r="A6" s="4" t="inlineStr">
        <is>
          <t>Postcard set</t>
        </is>
      </c>
      <c r="B6" s="5" t="n">
        <v>27</v>
      </c>
      <c r="C6" s="5">
        <f>B6/1.15</f>
        <v/>
      </c>
      <c r="D6" s="5" t="n">
        <v>7</v>
      </c>
      <c r="E6" s="5" t="n">
        <v>7</v>
      </c>
      <c r="F6" s="5">
        <f>IF(E6=0,0,B6*0.025+1)</f>
        <v/>
      </c>
      <c r="G6" s="5">
        <f>0.04*(D6+IF(E6=0,0,22))</f>
        <v/>
      </c>
      <c r="H6" s="6">
        <f>C6-D6-E6-F6-G6</f>
        <v/>
      </c>
      <c r="I6" s="7" t="inlineStr">
        <is>
          <t>Entry price and a gifting occasion.</t>
        </is>
      </c>
    </row>
    <row r="7" ht="24" customHeight="1">
      <c r="A7" s="4" t="inlineStr">
        <is>
          <t>Core pad (39)</t>
        </is>
      </c>
      <c r="B7" s="5" t="n">
        <v>39</v>
      </c>
      <c r="C7" s="5">
        <f>B7/1.15</f>
        <v/>
      </c>
      <c r="D7" s="5" t="n">
        <v>17.5</v>
      </c>
      <c r="E7" s="5" t="n">
        <v>7</v>
      </c>
      <c r="F7" s="5">
        <f>IF(E7=0,0,B7*0.025+1)</f>
        <v/>
      </c>
      <c r="G7" s="5">
        <f>0.04*(D7+IF(E7=0,0,22))</f>
        <v/>
      </c>
      <c r="H7" s="6">
        <f>C7-D7-E7-F7-G7</f>
        <v/>
      </c>
      <c r="I7" s="7" t="inlineStr">
        <is>
          <t>The proposition at the low test price.</t>
        </is>
      </c>
    </row>
    <row r="8" ht="24" customHeight="1">
      <c r="A8" s="4" t="inlineStr">
        <is>
          <t>Core pad (49)</t>
        </is>
      </c>
      <c r="B8" s="5" t="n">
        <v>49</v>
      </c>
      <c r="C8" s="5">
        <f>B8/1.15</f>
        <v/>
      </c>
      <c r="D8" s="5" t="n">
        <v>17.5</v>
      </c>
      <c r="E8" s="5" t="n">
        <v>7</v>
      </c>
      <c r="F8" s="5">
        <f>IF(E8=0,0,B8*0.025+1)</f>
        <v/>
      </c>
      <c r="G8" s="5">
        <f>0.04*(D8+IF(E8=0,0,22))</f>
        <v/>
      </c>
      <c r="H8" s="6">
        <f>C8-D8-E8-F8-G8</f>
        <v/>
      </c>
      <c r="I8" s="7" t="inlineStr">
        <is>
          <t>The proposition at the premium test price.</t>
        </is>
      </c>
    </row>
    <row r="9" ht="24" customHeight="1">
      <c r="A9" s="4" t="inlineStr">
        <is>
          <t>Ages 3-5 edition</t>
        </is>
      </c>
      <c r="B9" s="5" t="n">
        <v>37</v>
      </c>
      <c r="C9" s="5">
        <f>B9/1.15</f>
        <v/>
      </c>
      <c r="D9" s="5" t="n">
        <v>17.5</v>
      </c>
      <c r="E9" s="5" t="n">
        <v>7</v>
      </c>
      <c r="F9" s="5">
        <f>IF(E9=0,0,B9*0.025+1)</f>
        <v/>
      </c>
      <c r="G9" s="5">
        <f>0.04*(D9+IF(E9=0,0,22))</f>
        <v/>
      </c>
      <c r="H9" s="6">
        <f>C9-D9-E9-F9-G9</f>
        <v/>
      </c>
      <c r="I9" s="7" t="inlineStr">
        <is>
          <t>Unlocks the younger sibling.</t>
        </is>
      </c>
    </row>
    <row r="10" ht="24" customHeight="1">
      <c r="A10" s="4" t="inlineStr">
        <is>
          <t>Ages 9-12 edition</t>
        </is>
      </c>
      <c r="B10" s="5" t="n">
        <v>47</v>
      </c>
      <c r="C10" s="5">
        <f>B10/1.15</f>
        <v/>
      </c>
      <c r="D10" s="5" t="n">
        <v>18.5</v>
      </c>
      <c r="E10" s="5" t="n">
        <v>7</v>
      </c>
      <c r="F10" s="5">
        <f>IF(E10=0,0,B10*0.025+1)</f>
        <v/>
      </c>
      <c r="G10" s="5">
        <f>0.04*(D10+IF(E10=0,0,22))</f>
        <v/>
      </c>
      <c r="H10" s="6">
        <f>C10-D10-E10-F10-G10</f>
        <v/>
      </c>
      <c r="I10" s="7" t="inlineStr">
        <is>
          <t>Answers 'my older child called it babyish'.</t>
        </is>
      </c>
    </row>
    <row r="11" ht="24" customHeight="1">
      <c r="A11" s="4" t="inlineStr">
        <is>
          <t>Gift bundle</t>
        </is>
      </c>
      <c r="B11" s="5" t="n">
        <v>89</v>
      </c>
      <c r="C11" s="5">
        <f>B11/1.15</f>
        <v/>
      </c>
      <c r="D11" s="5" t="n">
        <v>27</v>
      </c>
      <c r="E11" s="5" t="n">
        <v>7</v>
      </c>
      <c r="F11" s="5">
        <f>IF(E11=0,0,B11*0.025+1)</f>
        <v/>
      </c>
      <c r="G11" s="5">
        <f>0.04*(D11+IF(E11=0,0,22))</f>
        <v/>
      </c>
      <c r="H11" s="6">
        <f>C11-D11-E11-F11-G11</f>
        <v/>
      </c>
      <c r="I11" s="7" t="inlineStr">
        <is>
          <t>Pad + stickers + pencils.</t>
        </is>
      </c>
    </row>
    <row r="12" ht="24" customHeight="1">
      <c r="A12" s="4" t="inlineStr">
        <is>
          <t>Activity kit</t>
        </is>
      </c>
      <c r="B12" s="5" t="n">
        <v>149</v>
      </c>
      <c r="C12" s="5">
        <f>B12/1.15</f>
        <v/>
      </c>
      <c r="D12" s="5" t="n">
        <v>55</v>
      </c>
      <c r="E12" s="5" t="n">
        <v>7</v>
      </c>
      <c r="F12" s="5">
        <f>IF(E12=0,0,B12*0.025+1)</f>
        <v/>
      </c>
      <c r="G12" s="5">
        <f>0.04*(D12+IF(E12=0,0,22))</f>
        <v/>
      </c>
      <c r="H12" s="6">
        <f>C12-D12-E12-F12-G12</f>
        <v/>
      </c>
      <c r="I12" s="7" t="inlineStr">
        <is>
          <t>The only SKU whose contribution carries a real CAC.</t>
        </is>
      </c>
    </row>
    <row r="14" ht="32" customHeight="1">
      <c r="A14" s="2" t="inlineStr">
        <is>
          <t>Sticker sheets carry no shipping subsidy and no payment fee because they attach to an order that already pays both. That is the whole argument for launching them first: the cheapest possible test of whether a customer will buy twice, on artwork already paid for.</t>
        </is>
      </c>
    </row>
    <row r="16" ht="32" customHeight="1">
      <c r="A16" s="8" t="inlineStr">
        <is>
          <t>The activity kit is the only line whose contribution can absorb a realistic acquisition cost. If paid advertising is ever going to work for this business, it works on this SKU and not on the pad. It is also the SKU blocked on SASO/SABER conformity for the pencils.</t>
        </is>
      </c>
    </row>
  </sheetData>
  <mergeCells count="4">
    <mergeCell ref="A1:I1"/>
    <mergeCell ref="A14:I14"/>
    <mergeCell ref="A2:I2"/>
    <mergeCell ref="A16:I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20" customWidth="1" min="2" max="2"/>
    <col width="18" customWidth="1" min="3" max="3"/>
    <col width="14" customWidth="1" min="4" max="4"/>
    <col width="22" customWidth="1" min="5" max="5"/>
    <col width="30" customWidth="1" min="6" max="6"/>
    <col width="4" customWidth="1" min="7" max="7"/>
  </cols>
  <sheetData>
    <row r="1">
      <c r="A1" s="1" t="inlineStr">
        <is>
          <t>Attach rate vs. a price rise</t>
        </is>
      </c>
    </row>
    <row r="2" ht="30" customHeight="1">
      <c r="A2" s="2" t="inlineStr">
        <is>
          <t>Two ways to raise contribution per order. One costs conversion; the other does not.</t>
        </is>
      </c>
    </row>
    <row r="4" ht="30" customHeight="1">
      <c r="A4" s="3" t="inlineStr">
        <is>
          <t>Lever</t>
        </is>
      </c>
      <c r="B4" s="3" t="inlineStr">
        <is>
          <t>Change</t>
        </is>
      </c>
      <c r="C4" s="3" t="inlineStr">
        <is>
          <t>Contribution/order</t>
        </is>
      </c>
      <c r="D4" s="3" t="inlineStr">
        <is>
          <t>vs baseline</t>
        </is>
      </c>
      <c r="E4" s="3" t="inlineStr">
        <is>
          <t>Conversion cost</t>
        </is>
      </c>
      <c r="F4" s="3" t="inlineStr">
        <is>
          <t>Verdict</t>
        </is>
      </c>
      <c r="G4" s="3" t="inlineStr"/>
    </row>
    <row r="5" ht="30" customHeight="1">
      <c r="A5" s="9" t="inlineStr">
        <is>
          <t>Baseline: core pad @ 39</t>
        </is>
      </c>
      <c r="B5" s="7" t="inlineStr">
        <is>
          <t>—</t>
        </is>
      </c>
      <c r="C5" s="10">
        <f>'SKUs'!H7</f>
        <v/>
      </c>
      <c r="D5" s="11" t="n"/>
      <c r="E5" s="7" t="inlineStr">
        <is>
          <t>—</t>
        </is>
      </c>
      <c r="F5" s="12" t="inlineStr">
        <is>
          <t>The problem case</t>
        </is>
      </c>
    </row>
    <row r="6" ht="30" customHeight="1">
      <c r="A6" s="9" t="inlineStr">
        <is>
          <t>Raise price to 49</t>
        </is>
      </c>
      <c r="B6" s="7" t="inlineStr">
        <is>
          <t>+SAR 10</t>
        </is>
      </c>
      <c r="C6" s="10">
        <f>'SKUs'!H8</f>
        <v/>
      </c>
      <c r="D6" s="10">
        <f>C6-C5</f>
        <v/>
      </c>
      <c r="E6" s="7" t="inlineStr">
        <is>
          <t>Real — this is what the price cell measures</t>
        </is>
      </c>
      <c r="F6" s="12" t="inlineStr">
        <is>
          <t>Worth testing, costs conversion</t>
        </is>
      </c>
    </row>
    <row r="7" ht="30" customHeight="1">
      <c r="A7" s="9" t="inlineStr">
        <is>
          <t>Attach stickers to 30% of orders</t>
        </is>
      </c>
      <c r="B7" s="7" t="inlineStr">
        <is>
          <t>+30% x sticker contribution</t>
        </is>
      </c>
      <c r="C7" s="10">
        <f>C5+0.3*'SKUs'!H5</f>
        <v/>
      </c>
      <c r="D7" s="10">
        <f>C7-C5</f>
        <v/>
      </c>
      <c r="E7" s="7" t="inlineStr">
        <is>
          <t>None — same parcel, same checkout</t>
        </is>
      </c>
      <c r="F7" s="12" t="inlineStr">
        <is>
          <t>Free contribution. Do this first.</t>
        </is>
      </c>
    </row>
    <row r="8" ht="30" customHeight="1">
      <c r="A8" s="9" t="inlineStr">
        <is>
          <t>Attach stickers to 50% of orders</t>
        </is>
      </c>
      <c r="B8" s="7" t="inlineStr">
        <is>
          <t>+50% x sticker contribution</t>
        </is>
      </c>
      <c r="C8" s="10">
        <f>C5+0.5*'SKUs'!H5</f>
        <v/>
      </c>
      <c r="D8" s="10">
        <f>C8-C5</f>
        <v/>
      </c>
      <c r="E8" s="7" t="inlineStr">
        <is>
          <t>None</t>
        </is>
      </c>
      <c r="F8" s="12" t="inlineStr">
        <is>
          <t>Needs the offer designed into the page</t>
        </is>
      </c>
    </row>
    <row r="9" ht="30" customHeight="1">
      <c r="A9" s="9" t="inlineStr">
        <is>
          <t>Charge shipping in full</t>
        </is>
      </c>
      <c r="B9" s="7" t="inlineStr">
        <is>
          <t>15 -&gt; 22</t>
        </is>
      </c>
      <c r="C9" s="10">
        <f>C5+7</f>
        <v/>
      </c>
      <c r="D9" s="10">
        <f>C9-C5</f>
        <v/>
      </c>
      <c r="E9" s="7" t="inlineStr">
        <is>
          <t>Real, and untested</t>
        </is>
      </c>
      <c r="F9" s="12" t="inlineStr">
        <is>
          <t>Largest single controllable leak</t>
        </is>
      </c>
    </row>
    <row r="10" ht="30" customHeight="1">
      <c r="A10" s="9" t="inlineStr">
        <is>
          <t>Move the order to the bundle</t>
        </is>
      </c>
      <c r="B10" s="7" t="inlineStr">
        <is>
          <t>39 -&gt; 89</t>
        </is>
      </c>
      <c r="C10" s="10">
        <f>'SKUs'!H11</f>
        <v/>
      </c>
      <c r="D10" s="10">
        <f>C10-C5</f>
        <v/>
      </c>
      <c r="E10" s="7" t="inlineStr">
        <is>
          <t>Real — a much bigger ask</t>
        </is>
      </c>
      <c r="F10" s="12" t="inlineStr">
        <is>
          <t>The offer paid ads could afford</t>
        </is>
      </c>
    </row>
    <row r="12" ht="32" customHeight="1">
      <c r="A12" s="2" t="inlineStr">
        <is>
          <t>Read rows 7 and 6 against each other. Attaching stickers to 30% of orders adds contribution with ZERO conversion cost, because the customer has already decided to buy and the parcel is already being shipped. A price rise adds more per order and costs conversion on every order. Do the free one first, then test the priced one.</t>
        </is>
      </c>
    </row>
    <row r="14" ht="32" customHeight="1">
      <c r="A14" s="2" t="inlineStr">
        <is>
          <t>This is why the range is sequenced stickers-first rather than second-title-first. The cheapest contribution in the business is the SKU that rides an order you already won.</t>
        </is>
      </c>
    </row>
  </sheetData>
  <mergeCells count="4">
    <mergeCell ref="A14:G14"/>
    <mergeCell ref="A2:G2"/>
    <mergeCell ref="A1:G1"/>
    <mergeCell ref="A12:G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6" customWidth="1" min="1" max="1"/>
    <col width="16" customWidth="1" min="2" max="2"/>
    <col width="14" customWidth="1" min="3" max="3"/>
    <col width="20" customWidth="1" min="4" max="4"/>
    <col width="16" customWidth="1" min="5" max="5"/>
    <col width="20" customWidth="1" min="6" max="6"/>
  </cols>
  <sheetData>
    <row r="1">
      <c r="A1" s="1" t="inlineStr">
        <is>
          <t>100 customers, 12 months</t>
        </is>
      </c>
    </row>
    <row r="2" ht="30" customHeight="1">
      <c r="A2" s="2" t="inlineStr">
        <is>
          <t>What a cohort is worth once there is more than one thing to buy. Edit the yellow assumptions; everything else follows.</t>
        </is>
      </c>
    </row>
    <row r="4">
      <c r="A4" s="13" t="inlineStr">
        <is>
          <t>ASSUMPTIONS</t>
        </is>
      </c>
    </row>
    <row r="5">
      <c r="A5" s="14" t="inlineStr">
        <is>
          <t>Cohort size</t>
        </is>
      </c>
      <c r="C5" s="15" t="n">
        <v>100</v>
      </c>
      <c r="D5" s="16" t="inlineStr">
        <is>
          <t>customers acquired in month 0</t>
        </is>
      </c>
    </row>
    <row r="6">
      <c r="A6" s="14" t="inlineStr">
        <is>
          <t>Repeat rate within 12 months</t>
        </is>
      </c>
      <c r="C6" s="17" t="n">
        <v>0.25</v>
      </c>
      <c r="D6" s="16" t="inlineStr">
        <is>
          <t>the number that decides the business</t>
        </is>
      </c>
    </row>
    <row r="7">
      <c r="A7" s="14" t="inlineStr">
        <is>
          <t>Second purchases per repeater</t>
        </is>
      </c>
      <c r="C7" s="15" t="n">
        <v>1.4</v>
      </c>
      <c r="D7" s="16" t="inlineStr">
        <is>
          <t>some buy twice more</t>
        </is>
      </c>
    </row>
    <row r="8">
      <c r="A8" s="14" t="inlineStr">
        <is>
          <t>Sticker attach rate</t>
        </is>
      </c>
      <c r="C8" s="17" t="n">
        <v>0.3</v>
      </c>
      <c r="D8" s="16" t="inlineStr">
        <is>
          <t>share of orders adding stickers</t>
        </is>
      </c>
    </row>
    <row r="9">
      <c r="A9" s="14" t="inlineStr">
        <is>
          <t>Blended CAC actually paid</t>
        </is>
      </c>
      <c r="C9" s="15" t="n">
        <v>25</v>
      </c>
      <c r="D9" s="16" t="inlineStr">
        <is>
          <t>from the paid test</t>
        </is>
      </c>
    </row>
    <row r="11">
      <c r="A11" s="13" t="inlineStr">
        <is>
          <t>COHORT VALUE</t>
        </is>
      </c>
    </row>
    <row r="12" ht="20" customHeight="1">
      <c r="A12" s="14" t="inlineStr">
        <is>
          <t>First orders</t>
        </is>
      </c>
      <c r="B12" s="18">
        <f>C5</f>
        <v/>
      </c>
    </row>
    <row r="13" ht="20" customHeight="1">
      <c r="A13" s="14" t="inlineStr">
        <is>
          <t>First-order contribution (core pad @ 49)</t>
        </is>
      </c>
      <c r="B13" s="10">
        <f>B12*'SKUs'!H8</f>
        <v/>
      </c>
    </row>
    <row r="14" ht="20" customHeight="1">
      <c r="A14" s="14" t="inlineStr">
        <is>
          <t>Sticker attach on first orders</t>
        </is>
      </c>
      <c r="B14" s="18">
        <f>B12*C8*'SKUs'!H5</f>
        <v/>
      </c>
    </row>
    <row r="15" ht="20" customHeight="1">
      <c r="A15" s="14" t="inlineStr">
        <is>
          <t>Repeat customers</t>
        </is>
      </c>
      <c r="B15" s="18">
        <f>C5*C6</f>
        <v/>
      </c>
    </row>
    <row r="16" ht="20" customHeight="1">
      <c r="A16" s="14" t="inlineStr">
        <is>
          <t>Repeat orders</t>
        </is>
      </c>
      <c r="B16" s="18">
        <f>B15*C7</f>
        <v/>
      </c>
    </row>
    <row r="17" ht="20" customHeight="1">
      <c r="A17" s="14" t="inlineStr">
        <is>
          <t>Repeat-order contribution</t>
        </is>
      </c>
      <c r="B17" s="10">
        <f>B16*'SKUs'!H8</f>
        <v/>
      </c>
    </row>
    <row r="18" ht="20" customHeight="1">
      <c r="A18" s="14" t="inlineStr">
        <is>
          <t>Sticker attach on repeat orders</t>
        </is>
      </c>
      <c r="B18" s="18">
        <f>B16*C8*'SKUs'!H5</f>
        <v/>
      </c>
    </row>
    <row r="19" ht="20" customHeight="1">
      <c r="A19" s="13" t="inlineStr">
        <is>
          <t>TOTAL 12-MONTH CONTRIBUTION</t>
        </is>
      </c>
      <c r="B19" s="6">
        <f>B13+B14+B17+B18</f>
        <v/>
      </c>
    </row>
    <row r="20" ht="20" customHeight="1">
      <c r="A20" s="14" t="inlineStr">
        <is>
          <t>Acquisition cost paid (first orders only)</t>
        </is>
      </c>
      <c r="B20" s="18">
        <f>B12*C9</f>
        <v/>
      </c>
    </row>
    <row r="21" ht="20" customHeight="1">
      <c r="A21" s="13" t="inlineStr">
        <is>
          <t>NET COHORT VALUE</t>
        </is>
      </c>
      <c r="B21" s="6">
        <f>B19-B20</f>
        <v/>
      </c>
    </row>
    <row r="22" ht="20" customHeight="1">
      <c r="A22" s="14" t="inlineStr">
        <is>
          <t>Contribution per acquired customer</t>
        </is>
      </c>
      <c r="B22" s="10">
        <f>B19/C5</f>
        <v/>
      </c>
    </row>
    <row r="23" ht="20" customHeight="1">
      <c r="A23" s="14" t="inlineStr">
        <is>
          <t>Effective CAC headroom per customer</t>
        </is>
      </c>
      <c r="B23" s="10">
        <f>B19/C5</f>
        <v/>
      </c>
    </row>
    <row r="25" ht="32" customHeight="1">
      <c r="A25" s="2" t="inlineStr">
        <is>
          <t>The last row is the point. First-order economics say you can afford roughly SAR 14 of CAC on a core pad. Cohort economics — with a 25% repeat rate and a 30% sticker attach — say you can afford considerably more, because the second order carries no acquisition cost at all. That difference is the entire argument for building a range.</t>
        </is>
      </c>
    </row>
    <row r="27" ht="32" customHeight="1">
      <c r="A27" s="8" t="inlineStr">
        <is>
          <t>Do not spend against cohort economics until you have MEASURED the repeat rate. Spending a projected lifetime value you have not yet observed is the most common way a small physical-product business runs out of cash while its spreadsheet looks healthy.</t>
        </is>
      </c>
    </row>
  </sheetData>
  <mergeCells count="14">
    <mergeCell ref="A2:F2"/>
    <mergeCell ref="D5:F5"/>
    <mergeCell ref="A7:B7"/>
    <mergeCell ref="D8:F8"/>
    <mergeCell ref="A1:F1"/>
    <mergeCell ref="A9:B9"/>
    <mergeCell ref="A5:B5"/>
    <mergeCell ref="A27:F27"/>
    <mergeCell ref="D9:F9"/>
    <mergeCell ref="D7:F7"/>
    <mergeCell ref="A8:B8"/>
    <mergeCell ref="D6:F6"/>
    <mergeCell ref="A6:B6"/>
    <mergeCell ref="A25:F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14" customWidth="1" min="1" max="1"/>
    <col width="20" customWidth="1" min="2" max="2"/>
    <col width="18" customWidth="1" min="3" max="3"/>
    <col width="20" customWidth="1" min="4" max="4"/>
    <col width="22" customWidth="1" min="5" max="5"/>
    <col width="42" customWidth="1" min="6" max="6"/>
    <col width="4" customWidth="1" min="7" max="7"/>
  </cols>
  <sheetData>
    <row r="1">
      <c r="A1" s="1" t="inlineStr">
        <is>
          <t>CAC headroom as repeat rate varies</t>
        </is>
      </c>
    </row>
    <row r="2" ht="30" customHeight="1">
      <c r="A2" s="2" t="inlineStr">
        <is>
          <t>The decisive table. Read down the column that matches your observed repeat rate — not the one you hope for.</t>
        </is>
      </c>
    </row>
    <row r="4" ht="30" customHeight="1">
      <c r="A4" s="3" t="inlineStr">
        <is>
          <t>Repeat rate</t>
        </is>
      </c>
      <c r="B4" s="3" t="inlineStr">
        <is>
          <t>Repeat orders per 100</t>
        </is>
      </c>
      <c r="C4" s="3" t="inlineStr">
        <is>
          <t>Total contribution</t>
        </is>
      </c>
      <c r="D4" s="3" t="inlineStr">
        <is>
          <t>Per acquired customer</t>
        </is>
      </c>
      <c r="E4" s="3" t="inlineStr">
        <is>
          <t>Max CAC at 30% retained</t>
        </is>
      </c>
      <c r="F4" s="3" t="inlineStr">
        <is>
          <t>Verdict</t>
        </is>
      </c>
      <c r="G4" s="3" t="inlineStr"/>
    </row>
    <row r="5" ht="26" customHeight="1">
      <c r="A5" s="19" t="n">
        <v>0</v>
      </c>
      <c r="B5" s="18">
        <f>100*A5*Cohort!$C$7</f>
        <v/>
      </c>
      <c r="C5" s="10">
        <f>(100+B5)*'SKUs'!$H$8+(100+B5)*Cohort!$C$8*'SKUs'!$H$5</f>
        <v/>
      </c>
      <c r="D5" s="10">
        <f>C5/100</f>
        <v/>
      </c>
      <c r="E5" s="20">
        <f>D5*0.7</f>
        <v/>
      </c>
      <c r="F5" s="21" t="inlineStr">
        <is>
          <t>Single-transaction business. Gift positioning, accept the CAC.</t>
        </is>
      </c>
    </row>
    <row r="6" ht="26" customHeight="1">
      <c r="A6" s="19" t="n">
        <v>0.05</v>
      </c>
      <c r="B6" s="18">
        <f>100*A6*Cohort!$C$7</f>
        <v/>
      </c>
      <c r="C6" s="10">
        <f>(100+B6)*'SKUs'!$H$8+(100+B6)*Cohort!$C$8*'SKUs'!$H$5</f>
        <v/>
      </c>
      <c r="D6" s="10">
        <f>C6/100</f>
        <v/>
      </c>
      <c r="E6" s="20">
        <f>D6*0.7</f>
        <v/>
      </c>
      <c r="F6" s="21" t="inlineStr">
        <is>
          <t>Single-transaction business. Gift positioning, accept the CAC.</t>
        </is>
      </c>
    </row>
    <row r="7" ht="26" customHeight="1">
      <c r="A7" s="19" t="n">
        <v>0.1</v>
      </c>
      <c r="B7" s="18">
        <f>100*A7*Cohort!$C$7</f>
        <v/>
      </c>
      <c r="C7" s="10">
        <f>(100+B7)*'SKUs'!$H$8+(100+B7)*Cohort!$C$8*'SKUs'!$H$5</f>
        <v/>
      </c>
      <c r="D7" s="10">
        <f>C7/100</f>
        <v/>
      </c>
      <c r="E7" s="20">
        <f>D7*0.7</f>
        <v/>
      </c>
      <c r="F7" s="21" t="inlineStr">
        <is>
          <t>Marginal. Paid acquisition still will not work.</t>
        </is>
      </c>
    </row>
    <row r="8" ht="26" customHeight="1">
      <c r="A8" s="19" t="n">
        <v>0.15</v>
      </c>
      <c r="B8" s="18">
        <f>100*A8*Cohort!$C$7</f>
        <v/>
      </c>
      <c r="C8" s="10">
        <f>(100+B8)*'SKUs'!$H$8+(100+B8)*Cohort!$C$8*'SKUs'!$H$5</f>
        <v/>
      </c>
      <c r="D8" s="10">
        <f>C8/100</f>
        <v/>
      </c>
      <c r="E8" s="20">
        <f>D8*0.7</f>
        <v/>
      </c>
      <c r="F8" s="21" t="inlineStr">
        <is>
          <t>Marginal. Paid acquisition still will not work.</t>
        </is>
      </c>
    </row>
    <row r="9" ht="26" customHeight="1">
      <c r="A9" s="19" t="n">
        <v>0.2</v>
      </c>
      <c r="B9" s="18">
        <f>100*A9*Cohort!$C$7</f>
        <v/>
      </c>
      <c r="C9" s="10">
        <f>(100+B9)*'SKUs'!$H$8+(100+B9)*Cohort!$C$8*'SKUs'!$H$5</f>
        <v/>
      </c>
      <c r="D9" s="10">
        <f>C9/100</f>
        <v/>
      </c>
      <c r="E9" s="20">
        <f>D9*0.7</f>
        <v/>
      </c>
      <c r="F9" s="22" t="inlineStr">
        <is>
          <t>The range is working. Paid becomes arguable.</t>
        </is>
      </c>
    </row>
    <row r="10" ht="26" customHeight="1">
      <c r="A10" s="19" t="n">
        <v>0.25</v>
      </c>
      <c r="B10" s="18">
        <f>100*A10*Cohort!$C$7</f>
        <v/>
      </c>
      <c r="C10" s="10">
        <f>(100+B10)*'SKUs'!$H$8+(100+B10)*Cohort!$C$8*'SKUs'!$H$5</f>
        <v/>
      </c>
      <c r="D10" s="10">
        <f>C10/100</f>
        <v/>
      </c>
      <c r="E10" s="20">
        <f>D10*0.7</f>
        <v/>
      </c>
      <c r="F10" s="22" t="inlineStr">
        <is>
          <t>The range is working. Paid becomes arguable.</t>
        </is>
      </c>
    </row>
    <row r="11" ht="26" customHeight="1">
      <c r="A11" s="19" t="n">
        <v>0.3</v>
      </c>
      <c r="B11" s="18">
        <f>100*A11*Cohort!$C$7</f>
        <v/>
      </c>
      <c r="C11" s="10">
        <f>(100+B11)*'SKUs'!$H$8+(100+B11)*Cohort!$C$8*'SKUs'!$H$5</f>
        <v/>
      </c>
      <c r="D11" s="10">
        <f>C11/100</f>
        <v/>
      </c>
      <c r="E11" s="20">
        <f>D11*0.7</f>
        <v/>
      </c>
      <c r="F11" s="22" t="inlineStr">
        <is>
          <t>The range is working. Paid becomes arguable.</t>
        </is>
      </c>
    </row>
    <row r="12" ht="26" customHeight="1">
      <c r="A12" s="19" t="n">
        <v>0.4</v>
      </c>
      <c r="B12" s="18">
        <f>100*A12*Cohort!$C$7</f>
        <v/>
      </c>
      <c r="C12" s="10">
        <f>(100+B12)*'SKUs'!$H$8+(100+B12)*Cohort!$C$8*'SKUs'!$H$5</f>
        <v/>
      </c>
      <c r="D12" s="10">
        <f>C12/100</f>
        <v/>
      </c>
      <c r="E12" s="20">
        <f>D12*0.7</f>
        <v/>
      </c>
      <c r="F12" s="22" t="inlineStr">
        <is>
          <t>Masterbrand thesis proved. Build the subscription.</t>
        </is>
      </c>
    </row>
    <row r="13" ht="26" customHeight="1">
      <c r="A13" s="19" t="n">
        <v>0.5</v>
      </c>
      <c r="B13" s="18">
        <f>100*A13*Cohort!$C$7</f>
        <v/>
      </c>
      <c r="C13" s="10">
        <f>(100+B13)*'SKUs'!$H$8+(100+B13)*Cohort!$C$8*'SKUs'!$H$5</f>
        <v/>
      </c>
      <c r="D13" s="10">
        <f>C13/100</f>
        <v/>
      </c>
      <c r="E13" s="20">
        <f>D13*0.7</f>
        <v/>
      </c>
      <c r="F13" s="22" t="inlineStr">
        <is>
          <t>Masterbrand thesis proved. Build the subscription.</t>
        </is>
      </c>
    </row>
    <row r="15" ht="32" customHeight="1">
      <c r="A15" s="2" t="inlineStr">
        <is>
          <t>Compare column E against the cost per acquisition you actually observe. At 0% repeat the business must be acquired one customer at a time forever, which the flagship economics say is not affordable. Every row down this table is the range doing its job.</t>
        </is>
      </c>
    </row>
    <row r="17" ht="32" customHeight="1">
      <c r="A17" s="8" t="inlineStr">
        <is>
          <t>GATE FOR WAVE TWO: at least 20% of the flagship's buyers purchase the second title within 8 weeks, without a discount. Below that, stop extending the range and either fix the flagship or accept that this is a gifting business and price it accordingly.</t>
        </is>
      </c>
    </row>
  </sheetData>
  <mergeCells count="4">
    <mergeCell ref="A2:G2"/>
    <mergeCell ref="A1:G1"/>
    <mergeCell ref="A17:G17"/>
    <mergeCell ref="A15:G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4" customWidth="1" min="1" max="1"/>
    <col width="30" customWidth="1" min="2" max="2"/>
    <col width="44" customWidth="1" min="3" max="3"/>
    <col width="40" customWidth="1" min="4" max="4"/>
    <col width="30" customWidth="1" min="5" max="5"/>
    <col width="4" customWidth="1" min="6" max="6"/>
  </cols>
  <sheetData>
    <row r="1">
      <c r="A1" s="1" t="inlineStr">
        <is>
          <t>Waves and gates</t>
        </is>
      </c>
    </row>
    <row r="2" ht="30" customHeight="1">
      <c r="A2" s="2" t="inlineStr">
        <is>
          <t>Nothing in a later wave is funded until the gate above it passes.</t>
        </is>
      </c>
    </row>
    <row r="4" ht="30" customHeight="1">
      <c r="A4" s="3" t="inlineStr">
        <is>
          <t>When</t>
        </is>
      </c>
      <c r="B4" s="3" t="inlineStr">
        <is>
          <t>What</t>
        </is>
      </c>
      <c r="C4" s="3" t="inlineStr">
        <is>
          <t>Why now</t>
        </is>
      </c>
      <c r="D4" s="3" t="inlineStr">
        <is>
          <t>Gate before the next wave</t>
        </is>
      </c>
      <c r="E4" s="3" t="inlineStr">
        <is>
          <t>Blocked on</t>
        </is>
      </c>
      <c r="F4" s="3" t="inlineStr"/>
    </row>
    <row r="5" ht="34" customHeight="1">
      <c r="A5" s="9" t="inlineStr">
        <is>
          <t>Nov 2026</t>
        </is>
      </c>
      <c r="B5" s="23" t="inlineStr">
        <is>
          <t>Flagship launch</t>
        </is>
      </c>
      <c r="C5" s="7" t="inlineStr">
        <is>
          <t>The proposition</t>
        </is>
      </c>
      <c r="D5" s="22" t="inlineStr">
        <is>
          <t>20-order dry run passed; first reviews real</t>
        </is>
      </c>
      <c r="E5" s="7" t="inlineStr">
        <is>
          <t>—</t>
        </is>
      </c>
    </row>
    <row r="6" ht="34" customHeight="1">
      <c r="A6" s="9" t="inlineStr">
        <is>
          <t>Jan 2027</t>
        </is>
      </c>
      <c r="B6" s="23" t="inlineStr">
        <is>
          <t>Sticker sheets</t>
        </is>
      </c>
      <c r="C6" s="7" t="inlineStr">
        <is>
          <t>Cheapest repeat test; artwork already paid for</t>
        </is>
      </c>
      <c r="D6" s="22" t="inlineStr">
        <is>
          <t>Any repeat purchase at all</t>
        </is>
      </c>
      <c r="E6" s="7" t="inlineStr">
        <is>
          <t>Confirm stickers are not toy-classified</t>
        </is>
      </c>
    </row>
    <row r="7" ht="34" customHeight="1">
      <c r="A7" s="9" t="inlineStr">
        <is>
          <t>Feb 2027</t>
        </is>
      </c>
      <c r="B7" s="23" t="inlineStr">
        <is>
          <t>Postcards</t>
        </is>
      </c>
      <c r="C7" s="7" t="inlineStr">
        <is>
          <t>Entry price, gifting, a child mails the marketing</t>
        </is>
      </c>
      <c r="D7" s="9" t="inlineStr"/>
      <c r="E7" s="7" t="inlineStr">
        <is>
          <t>—</t>
        </is>
      </c>
    </row>
    <row r="8" ht="34" customHeight="1">
      <c r="A8" s="9" t="inlineStr">
        <is>
          <t>Feb 2027</t>
        </is>
      </c>
      <c r="B8" s="23" t="inlineStr">
        <is>
          <t>Founding Day capsule</t>
        </is>
      </c>
      <c r="C8" s="7" t="inlineStr">
        <is>
          <t>Captures the spike without becoming an occasion brand</t>
        </is>
      </c>
      <c r="D8" s="9" t="inlineStr"/>
      <c r="E8" s="7" t="inlineStr">
        <is>
          <t>Dated, limited, never restocked</t>
        </is>
      </c>
    </row>
    <row r="9" ht="34" customHeight="1">
      <c r="A9" s="9" t="inlineStr">
        <is>
          <t>Apr 2027</t>
        </is>
      </c>
      <c r="B9" s="23" t="inlineStr">
        <is>
          <t>Title 2 — Nature and Animals</t>
        </is>
      </c>
      <c r="C9" s="7" t="inlineStr">
        <is>
          <t>Lowest cultural risk, strongest proven artwork</t>
        </is>
      </c>
      <c r="D9" s="22" t="inlineStr">
        <is>
          <t>≥20% of flagship buyers buy within 8 weeks, no discount</t>
        </is>
      </c>
      <c r="E9" s="7" t="inlineStr">
        <is>
          <t>Illustration commission</t>
        </is>
      </c>
    </row>
    <row r="10" ht="34" customHeight="1">
      <c r="A10" s="9" t="inlineStr">
        <is>
          <t>Jul 2027</t>
        </is>
      </c>
      <c r="B10" s="23" t="inlineStr">
        <is>
          <t>Activity kit</t>
        </is>
      </c>
      <c r="C10" s="7" t="inlineStr">
        <is>
          <t>The only SKU whose contribution carries a real CAC</t>
        </is>
      </c>
      <c r="D10" s="9" t="inlineStr"/>
      <c r="E10" s="7" t="inlineStr">
        <is>
          <t>SASO/SABER for pencils — settle BEFORE scheduling</t>
        </is>
      </c>
    </row>
    <row r="11" ht="34" customHeight="1">
      <c r="A11" s="9" t="inlineStr">
        <is>
          <t>Sep 2027</t>
        </is>
      </c>
      <c r="B11" s="23" t="inlineStr">
        <is>
          <t>Ages 3-5 edition</t>
        </is>
      </c>
      <c r="C11" s="7" t="inlineStr">
        <is>
          <t>Unlocks the younger sibling</t>
        </is>
      </c>
      <c r="D11" s="9" t="inlineStr"/>
      <c r="E11" s="7" t="inlineStr">
        <is>
          <t>—</t>
        </is>
      </c>
    </row>
    <row r="12" ht="34" customHeight="1">
      <c r="A12" s="9" t="inlineStr">
        <is>
          <t>Q4 2027</t>
        </is>
      </c>
      <c r="B12" s="23" t="inlineStr">
        <is>
          <t>Title 3 + second capsule</t>
        </is>
      </c>
      <c r="C12" s="7" t="inlineStr">
        <is>
          <t>Cadence of two titles a year</t>
        </is>
      </c>
      <c r="D12" s="9" t="inlineStr"/>
      <c r="E12" s="7" t="inlineStr">
        <is>
          <t>—</t>
        </is>
      </c>
    </row>
    <row r="13" ht="34" customHeight="1">
      <c r="A13" s="9" t="inlineStr">
        <is>
          <t>2028</t>
        </is>
      </c>
      <c r="B13" s="23" t="inlineStr">
        <is>
          <t>Ages 9-12, titles 4-5, educator pilot</t>
        </is>
      </c>
      <c r="C13" s="7" t="inlineStr">
        <is>
          <t>Extends lifetime rather than finding new customers</t>
        </is>
      </c>
      <c r="D13" s="22" t="inlineStr">
        <is>
          <t>Repeat rate &gt;40% sustained</t>
        </is>
      </c>
      <c r="E13" s="7" t="inlineStr">
        <is>
          <t>Procurement cycles are slow</t>
        </is>
      </c>
    </row>
    <row r="14" ht="34" customHeight="1">
      <c r="A14" s="9" t="inlineStr">
        <is>
          <t>2029</t>
        </is>
      </c>
      <c r="B14" s="23" t="inlineStr">
        <is>
          <t>Subscription</t>
        </is>
      </c>
      <c r="C14" s="7" t="inlineStr">
        <is>
          <t>Solves acquisition permanently</t>
        </is>
      </c>
      <c r="D14" s="9" t="inlineStr"/>
      <c r="E14" s="7" t="inlineStr">
        <is>
          <t>Only above ~40% repeat, or it is a churn machine</t>
        </is>
      </c>
    </row>
    <row r="16" ht="32" customHeight="1">
      <c r="A16" s="8" t="inlineStr">
        <is>
          <t>The Apr 2027 gate is the real one. Everything before it reuses artwork you have already paid for; everything after it commits new illustration money. If the existing customer list will not buy a second title at full price, the range thesis is wrong and no amount of further range will fix it.</t>
        </is>
      </c>
    </row>
  </sheetData>
  <mergeCells count="3">
    <mergeCell ref="A2:F2"/>
    <mergeCell ref="A16:F16"/>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2026-09-05T09:36:51Z</dcterms:created>
  <dcterms:modified xsi:type="dcterms:W3CDTF">2026-09-05T09:36:51Z</dcterms:modified>
</cp:coreProperties>
</file>